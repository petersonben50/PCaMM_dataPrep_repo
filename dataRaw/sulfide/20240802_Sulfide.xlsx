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jeri\Desktop\Poulin Lab\"/>
    </mc:Choice>
  </mc:AlternateContent>
  <xr:revisionPtr revIDLastSave="0" documentId="13_ncr:1_{55AE0D89-474F-4869-8717-BC571030B4DB}" xr6:coauthVersionLast="47" xr6:coauthVersionMax="47" xr10:uidLastSave="{00000000-0000-0000-0000-000000000000}"/>
  <bookViews>
    <workbookView xWindow="-98" yWindow="-98" windowWidth="19396" windowHeight="11475" firstSheet="1" activeTab="1" xr2:uid="{00000000-000D-0000-FFFF-FFFF00000000}"/>
  </bookViews>
  <sheets>
    <sheet name="Sulfide_ISE_Data" sheetId="8" r:id="rId1"/>
    <sheet name="Sample Measurement" sheetId="5" r:id="rId2"/>
    <sheet name="PRINT_Field Sheet" sheetId="7" r:id="rId3"/>
    <sheet name="Calibration" sheetId="3" r:id="rId4"/>
    <sheet name="Sulfide Stock Soln" sheetId="2" r:id="rId5"/>
  </sheets>
  <externalReferences>
    <externalReference r:id="rId6"/>
  </externalReferences>
  <definedNames>
    <definedName name="elecdata">'[1]Data Workup'!$A$13:$E$17</definedName>
    <definedName name="_xlnm.Print_Area" localSheetId="3">Calibration!$B$2:$H$43</definedName>
    <definedName name="_xlnm.Print_Area" localSheetId="2">'PRINT_Field Sheet'!$A$1:$L$32</definedName>
    <definedName name="_xlnm.Print_Area" localSheetId="4">'Sulfide Stock Soln'!$B$1:$J$47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 a="1"/>
  <c r="C41" i="3" s="1"/>
  <c r="C42" i="3" a="1"/>
  <c r="C42" i="3" s="1"/>
  <c r="C43" i="3" a="1"/>
  <c r="C43" i="3" s="1"/>
  <c r="H23" i="3"/>
  <c r="G2" i="8" l="1"/>
  <c r="E2" i="8"/>
  <c r="F2" i="8"/>
  <c r="D2" i="8"/>
  <c r="C49" i="3" l="1"/>
  <c r="C36" i="2"/>
  <c r="E17" i="3" s="1"/>
  <c r="H13" i="2" l="1"/>
  <c r="H14" i="2" s="1"/>
  <c r="H16" i="2" s="1"/>
  <c r="H28" i="3"/>
  <c r="C39" i="3" s="1"/>
  <c r="D28" i="3"/>
  <c r="H27" i="3"/>
  <c r="C38" i="3" s="1"/>
  <c r="D27" i="3"/>
  <c r="H26" i="3"/>
  <c r="D26" i="3"/>
  <c r="H25" i="3"/>
  <c r="C36" i="3" s="1"/>
  <c r="D25" i="3"/>
  <c r="H24" i="3"/>
  <c r="C35" i="3" s="1"/>
  <c r="D24" i="3"/>
  <c r="C34" i="3"/>
  <c r="D23" i="3"/>
  <c r="H22" i="3"/>
  <c r="C33" i="3" s="1"/>
  <c r="D22" i="3"/>
  <c r="C13" i="2"/>
  <c r="C14" i="2" s="1"/>
  <c r="C37" i="3" l="1"/>
  <c r="C48" i="3"/>
  <c r="C50" i="3" s="1"/>
  <c r="C22" i="2"/>
  <c r="B22" i="3"/>
  <c r="B33" i="3" s="1"/>
  <c r="C16" i="2"/>
  <c r="B27" i="3" l="1"/>
  <c r="B38" i="3" s="1"/>
  <c r="B24" i="3"/>
  <c r="B35" i="3" s="1"/>
  <c r="B26" i="3"/>
  <c r="B37" i="3" s="1"/>
  <c r="B28" i="3"/>
  <c r="B39" i="3" s="1"/>
  <c r="B23" i="3"/>
  <c r="B34" i="3" s="1"/>
  <c r="C46" i="3" s="1"/>
  <c r="B25" i="3"/>
  <c r="B36" i="3" s="1"/>
  <c r="C44" i="3" l="1"/>
  <c r="C43" i="5" l="1"/>
  <c r="E43" i="5" s="1"/>
  <c r="F43" i="5" s="1"/>
  <c r="C35" i="5"/>
  <c r="E35" i="5" s="1"/>
  <c r="F35" i="5" s="1"/>
  <c r="C27" i="5"/>
  <c r="E27" i="5" s="1"/>
  <c r="F27" i="5" s="1"/>
  <c r="C19" i="5"/>
  <c r="E19" i="5" s="1"/>
  <c r="F19" i="5" s="1"/>
  <c r="C11" i="5"/>
  <c r="E11" i="5" s="1"/>
  <c r="F11" i="5" s="1"/>
  <c r="C3" i="5"/>
  <c r="E3" i="5" s="1"/>
  <c r="F3" i="5" s="1"/>
  <c r="C42" i="5"/>
  <c r="E42" i="5" s="1"/>
  <c r="F42" i="5" s="1"/>
  <c r="C34" i="5"/>
  <c r="E34" i="5" s="1"/>
  <c r="F34" i="5" s="1"/>
  <c r="C26" i="5"/>
  <c r="E26" i="5" s="1"/>
  <c r="F26" i="5" s="1"/>
  <c r="C18" i="5"/>
  <c r="E18" i="5" s="1"/>
  <c r="F18" i="5" s="1"/>
  <c r="C10" i="5"/>
  <c r="E10" i="5" s="1"/>
  <c r="F10" i="5" s="1"/>
  <c r="C41" i="5"/>
  <c r="C33" i="5"/>
  <c r="E33" i="5" s="1"/>
  <c r="F33" i="5" s="1"/>
  <c r="C17" i="5"/>
  <c r="E17" i="5" s="1"/>
  <c r="F17" i="5" s="1"/>
  <c r="C9" i="5"/>
  <c r="E9" i="5" s="1"/>
  <c r="F9" i="5" s="1"/>
  <c r="C40" i="5"/>
  <c r="E40" i="5" s="1"/>
  <c r="F40" i="5" s="1"/>
  <c r="C32" i="5"/>
  <c r="E32" i="5" s="1"/>
  <c r="F32" i="5" s="1"/>
  <c r="C24" i="5"/>
  <c r="E24" i="5" s="1"/>
  <c r="F24" i="5" s="1"/>
  <c r="C16" i="5"/>
  <c r="E16" i="5" s="1"/>
  <c r="F16" i="5" s="1"/>
  <c r="C8" i="5"/>
  <c r="E8" i="5" s="1"/>
  <c r="F8" i="5" s="1"/>
  <c r="C25" i="5"/>
  <c r="E25" i="5" s="1"/>
  <c r="F25" i="5" s="1"/>
  <c r="C39" i="5"/>
  <c r="E39" i="5" s="1"/>
  <c r="F39" i="5" s="1"/>
  <c r="C31" i="5"/>
  <c r="E31" i="5" s="1"/>
  <c r="F31" i="5" s="1"/>
  <c r="C23" i="5"/>
  <c r="E23" i="5" s="1"/>
  <c r="F23" i="5" s="1"/>
  <c r="C15" i="5"/>
  <c r="E15" i="5" s="1"/>
  <c r="F15" i="5" s="1"/>
  <c r="C7" i="5"/>
  <c r="E7" i="5" s="1"/>
  <c r="F7" i="5" s="1"/>
  <c r="C38" i="5"/>
  <c r="E38" i="5" s="1"/>
  <c r="F38" i="5" s="1"/>
  <c r="C30" i="5"/>
  <c r="E30" i="5" s="1"/>
  <c r="F30" i="5" s="1"/>
  <c r="C22" i="5"/>
  <c r="E22" i="5" s="1"/>
  <c r="F22" i="5" s="1"/>
  <c r="C14" i="5"/>
  <c r="E14" i="5" s="1"/>
  <c r="F14" i="5" s="1"/>
  <c r="C6" i="5"/>
  <c r="E6" i="5" s="1"/>
  <c r="F6" i="5" s="1"/>
  <c r="C45" i="5"/>
  <c r="E45" i="5" s="1"/>
  <c r="F45" i="5" s="1"/>
  <c r="C37" i="5"/>
  <c r="E37" i="5" s="1"/>
  <c r="F37" i="5" s="1"/>
  <c r="C29" i="5"/>
  <c r="E29" i="5" s="1"/>
  <c r="F29" i="5" s="1"/>
  <c r="C21" i="5"/>
  <c r="E21" i="5" s="1"/>
  <c r="F21" i="5" s="1"/>
  <c r="C13" i="5"/>
  <c r="E13" i="5" s="1"/>
  <c r="F13" i="5" s="1"/>
  <c r="C5" i="5"/>
  <c r="E5" i="5" s="1"/>
  <c r="F5" i="5" s="1"/>
  <c r="C44" i="5"/>
  <c r="E44" i="5" s="1"/>
  <c r="F44" i="5" s="1"/>
  <c r="C36" i="5"/>
  <c r="E36" i="5" s="1"/>
  <c r="F36" i="5" s="1"/>
  <c r="C28" i="5"/>
  <c r="E28" i="5" s="1"/>
  <c r="F28" i="5" s="1"/>
  <c r="C20" i="5"/>
  <c r="E20" i="5" s="1"/>
  <c r="F20" i="5" s="1"/>
  <c r="C12" i="5"/>
  <c r="E12" i="5" s="1"/>
  <c r="F12" i="5" s="1"/>
  <c r="C4" i="5"/>
  <c r="E4" i="5" s="1"/>
  <c r="F4" i="5" s="1"/>
  <c r="E41" i="5"/>
  <c r="F41" i="5" s="1"/>
  <c r="C2" i="5"/>
  <c r="E2" i="5" l="1"/>
  <c r="F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<sst xmlns="http://schemas.openxmlformats.org/spreadsheetml/2006/main" count="141" uniqueCount="108">
  <si>
    <t>Sulfide Stock Solution Calibration</t>
  </si>
  <si>
    <t>The details below outline the preparation of [S(-II)] stock solution from Na2S and dilution for ISE calibration standards</t>
  </si>
  <si>
    <r>
      <t>2000 mg/L sulfide (as 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</rPr>
      <t>●9H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O)</t>
    </r>
    <r>
      <rPr>
        <b/>
        <sz val="11"/>
        <color theme="1"/>
        <rFont val="Calibri"/>
        <family val="2"/>
        <scheme val="minor"/>
      </rPr>
      <t xml:space="preserve"> stock Solution</t>
    </r>
  </si>
  <si>
    <t>Preparation Date</t>
  </si>
  <si>
    <t>g</t>
  </si>
  <si>
    <t>Deaerated DI</t>
  </si>
  <si>
    <t>*Prepared in anoxic glove box</t>
  </si>
  <si>
    <t>mg/L</t>
  </si>
  <si>
    <t>Prepration of 100 mg/L Na2S stock solution (2 mL up to 40 mL)</t>
  </si>
  <si>
    <t>Mass Deaerated DI</t>
  </si>
  <si>
    <t xml:space="preserve">Mass 100 mg/L Na2S solution </t>
  </si>
  <si>
    <t>Conc. 10 mg/L Working Stock</t>
  </si>
  <si>
    <t>Mass Na2S●9H2O salt</t>
  </si>
  <si>
    <t>% S(-II) in Na2S●9H2O</t>
  </si>
  <si>
    <t>Mass S(-II)</t>
  </si>
  <si>
    <t>theoretical [S(-II)] mg/L</t>
  </si>
  <si>
    <t xml:space="preserve">Mass parent S(-II) stock solution </t>
  </si>
  <si>
    <t xml:space="preserve">Solution to be prepared with deaerated water (N2 purged) and stored in a N2-filled glove box. </t>
  </si>
  <si>
    <t>1.</t>
  </si>
  <si>
    <t>2.</t>
  </si>
  <si>
    <t>3.</t>
  </si>
  <si>
    <t>**Skip this step if sulfide stock is already prepped</t>
  </si>
  <si>
    <t>STEP</t>
  </si>
  <si>
    <t>Pouiln Lab - Dept. of Environmental Toxicology</t>
  </si>
  <si>
    <t>UC Davis</t>
  </si>
  <si>
    <t>Calibration Date:</t>
  </si>
  <si>
    <t>Concentration of 10 mg/L sulfide working stock soln</t>
  </si>
  <si>
    <t>Project:</t>
  </si>
  <si>
    <t xml:space="preserve">Electrode: </t>
  </si>
  <si>
    <t>Analyst:</t>
  </si>
  <si>
    <t>S(-II) Cal standard (mg/L)</t>
  </si>
  <si>
    <t>Volume 10 mg/L Stock (mL)</t>
  </si>
  <si>
    <t>Volume Deaerated DI (ml)</t>
  </si>
  <si>
    <t>Volume SAOB (mL)</t>
  </si>
  <si>
    <t>mV 1</t>
  </si>
  <si>
    <t>mV 2</t>
  </si>
  <si>
    <t>Avg mV</t>
  </si>
  <si>
    <t>STD1</t>
  </si>
  <si>
    <t>STD2</t>
  </si>
  <si>
    <t>STD3</t>
  </si>
  <si>
    <t>STD4</t>
  </si>
  <si>
    <t>STD5</t>
  </si>
  <si>
    <t>STD6</t>
  </si>
  <si>
    <t>STD7</t>
  </si>
  <si>
    <t>[S(-II)] (mg/L)</t>
  </si>
  <si>
    <t>mV response</t>
  </si>
  <si>
    <t>slope</t>
  </si>
  <si>
    <t>intercept</t>
  </si>
  <si>
    <t>R^2</t>
  </si>
  <si>
    <t>Sample ID</t>
  </si>
  <si>
    <t>mV</t>
  </si>
  <si>
    <t>Notes</t>
  </si>
  <si>
    <t>[S(-II)] / (mg/L)</t>
  </si>
  <si>
    <t>Poulin Lab - Dept. of Environmental Toxicology</t>
  </si>
  <si>
    <t>or…</t>
  </si>
  <si>
    <r>
      <t>2000 mg/L sulfide (as 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</rPr>
      <t>)</t>
    </r>
    <r>
      <rPr>
        <b/>
        <sz val="11"/>
        <color theme="1"/>
        <rFont val="Calibri"/>
        <family val="2"/>
        <scheme val="minor"/>
      </rPr>
      <t xml:space="preserve"> stock Solution</t>
    </r>
  </si>
  <si>
    <t>Choose depending on which salt is available</t>
  </si>
  <si>
    <t>% S(-II) in Na2S</t>
  </si>
  <si>
    <t>Mass Na2S</t>
  </si>
  <si>
    <t>ContainerID</t>
  </si>
  <si>
    <t>SulfideISE_DataFileName</t>
  </si>
  <si>
    <t>Sulfide_ISE_AnalysisDate</t>
  </si>
  <si>
    <t>Sulfide_ISE_AnalysisTech</t>
  </si>
  <si>
    <t>Sulfide_ISE_ElectrodeID</t>
  </si>
  <si>
    <t>Sulfide_ppm</t>
  </si>
  <si>
    <t>Sulfide_ppm_QA</t>
  </si>
  <si>
    <t>Analyst Note</t>
  </si>
  <si>
    <t>Analysis Date:</t>
  </si>
  <si>
    <t>FileName</t>
  </si>
  <si>
    <t>Sulfide_ISE_CalibrationDate</t>
  </si>
  <si>
    <t>Project</t>
  </si>
  <si>
    <t>QA_Flag</t>
  </si>
  <si>
    <t>DF</t>
  </si>
  <si>
    <t>Original [S(-II)] (mg/L)</t>
  </si>
  <si>
    <t>Prepration of 10 mg/L Na2S stock solution (4 mL up to 40 mL)</t>
  </si>
  <si>
    <t>Dilution for Quantification and ISE Calibration Standards</t>
  </si>
  <si>
    <t>Prepration of 0.5 mg/L Na2S stock solution (0.5 mL up to 10 mL)</t>
  </si>
  <si>
    <t xml:space="preserve">Mass 10 mg/L Na2S solution </t>
  </si>
  <si>
    <t>Hach Measurement of Sulfide Concentration</t>
  </si>
  <si>
    <t>Conc. of  0.5 mg/L solution</t>
  </si>
  <si>
    <t>Sulfide Stock Solution Preparation</t>
  </si>
  <si>
    <t>Measured mV Offset</t>
  </si>
  <si>
    <t xml:space="preserve">*Based on Nernst Equation, there should be an offset of -59.2 mV for each order of magnitude change in concentration / per unit charge </t>
  </si>
  <si>
    <t>Theoretical mV Offset*</t>
  </si>
  <si>
    <t>OPTIONAL</t>
  </si>
  <si>
    <t xml:space="preserve">Steps: </t>
  </si>
  <si>
    <t>1. Prepare the calibration standard solutions</t>
  </si>
  <si>
    <t xml:space="preserve">3. Measure all calibration standards and populate Cells G22-28. If the electrode is drifitng, measure each solution twice. </t>
  </si>
  <si>
    <t>R2 Criteria</t>
  </si>
  <si>
    <t>mV Offset Criteria</t>
  </si>
  <si>
    <t>2. Populate the table below with measurement information (date, project, electrode ID, analyst; Cells C16-19)</t>
  </si>
  <si>
    <t>4. Evaluate the detection limit between 0.05 and 0.01 mg/L. Enter the DL in Cell C45.</t>
  </si>
  <si>
    <t xml:space="preserve">5. Review the R2 value (cell C44) and confirm it is &gt;0.99. </t>
  </si>
  <si>
    <t>Detection Limit (mg/L)</t>
  </si>
  <si>
    <t>6. Review the mV offset for the high calibration standards (Cell C48) and confirm it is ± 2mV of theoretical value (Cell C50)</t>
  </si>
  <si>
    <t>Virginia Krause</t>
  </si>
  <si>
    <t>Valley Water</t>
  </si>
  <si>
    <t>E1</t>
  </si>
  <si>
    <t>20240711_Sulfide_E1</t>
  </si>
  <si>
    <t>Meausred in triplicate</t>
  </si>
  <si>
    <t>Virginia Krause, Emily Richter</t>
  </si>
  <si>
    <t>PCaMM_SUF_114</t>
  </si>
  <si>
    <t>PCaMM_SUF_115</t>
  </si>
  <si>
    <t>PCaMM_SUF_116</t>
  </si>
  <si>
    <t>PCaMM_SUF_117</t>
  </si>
  <si>
    <t>PCaMM_SUF_118</t>
  </si>
  <si>
    <t>PCaMM_SUF_119</t>
  </si>
  <si>
    <t>PCaMM_SUF_120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</si>
</sst>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0" xfId="0" applyFont="1"/>
    <xf numFmtId="0" fontId="1" fillId="0" borderId="7" xfId="0" applyFon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center"/>
    </xf>
    <xf numFmtId="0" fontId="0" fillId="2" borderId="0" xfId="0" applyFill="1"/>
    <xf numFmtId="14" fontId="0" fillId="3" borderId="8" xfId="0" applyNumberFormat="1" applyFill="1" applyBorder="1"/>
    <xf numFmtId="0" fontId="1" fillId="0" borderId="16" xfId="0" applyFont="1" applyBorder="1"/>
    <xf numFmtId="0" fontId="0" fillId="0" borderId="18" xfId="0" applyBorder="1"/>
    <xf numFmtId="2" fontId="0" fillId="0" borderId="11" xfId="0" applyNumberFormat="1" applyBorder="1"/>
    <xf numFmtId="10" fontId="0" fillId="0" borderId="17" xfId="0" applyNumberFormat="1" applyBorder="1"/>
    <xf numFmtId="0" fontId="1" fillId="0" borderId="19" xfId="0" applyFont="1" applyBorder="1"/>
    <xf numFmtId="0" fontId="0" fillId="0" borderId="21" xfId="0" applyBorder="1" applyAlignment="1">
      <alignment horizontal="center"/>
    </xf>
    <xf numFmtId="0" fontId="1" fillId="0" borderId="22" xfId="0" applyFont="1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/>
    <xf numFmtId="0" fontId="0" fillId="0" borderId="25" xfId="0" applyBorder="1"/>
    <xf numFmtId="0" fontId="0" fillId="0" borderId="15" xfId="0" applyBorder="1"/>
    <xf numFmtId="0" fontId="1" fillId="0" borderId="0" xfId="0" applyFont="1" applyAlignment="1">
      <alignment horizontal="left"/>
    </xf>
    <xf numFmtId="0" fontId="0" fillId="2" borderId="26" xfId="0" applyFill="1" applyBorder="1"/>
    <xf numFmtId="0" fontId="0" fillId="2" borderId="25" xfId="0" applyFill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26" xfId="0" applyFon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0" fillId="0" borderId="0" xfId="0" applyAlignment="1">
      <alignment wrapText="1"/>
    </xf>
    <xf numFmtId="0" fontId="0" fillId="0" borderId="26" xfId="0" applyBorder="1"/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20" xfId="0" applyBorder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 vertical="center"/>
    </xf>
    <xf numFmtId="166" fontId="0" fillId="3" borderId="17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center"/>
    </xf>
    <xf numFmtId="14" fontId="0" fillId="0" borderId="0" xfId="0" applyNumberFormat="1"/>
    <xf numFmtId="49" fontId="0" fillId="0" borderId="0" xfId="0" applyNumberFormat="1"/>
    <xf numFmtId="14" fontId="0" fillId="0" borderId="9" xfId="0" applyNumberFormat="1" applyBorder="1"/>
    <xf numFmtId="49" fontId="0" fillId="0" borderId="12" xfId="0" applyNumberFormat="1" applyBorder="1"/>
    <xf numFmtId="49" fontId="0" fillId="0" borderId="15" xfId="0" applyNumberFormat="1" applyBorder="1"/>
    <xf numFmtId="0" fontId="0" fillId="2" borderId="2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0" borderId="0" xfId="0" applyNumberFormat="1"/>
    <xf numFmtId="0" fontId="0" fillId="0" borderId="16" xfId="0" applyBorder="1"/>
    <xf numFmtId="0" fontId="0" fillId="0" borderId="17" xfId="0" applyBorder="1"/>
    <xf numFmtId="0" fontId="1" fillId="0" borderId="31" xfId="0" applyFont="1" applyBorder="1" applyAlignment="1">
      <alignment horizontal="center"/>
    </xf>
    <xf numFmtId="0" fontId="0" fillId="2" borderId="8" xfId="0" applyFill="1" applyBorder="1"/>
    <xf numFmtId="0" fontId="0" fillId="0" borderId="12" xfId="0" applyBorder="1"/>
    <xf numFmtId="0" fontId="0" fillId="2" borderId="14" xfId="0" applyFill="1" applyBorder="1"/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4" xfId="0" applyBorder="1"/>
    <xf numFmtId="2" fontId="0" fillId="0" borderId="35" xfId="0" applyNumberFormat="1" applyBorder="1"/>
    <xf numFmtId="2" fontId="0" fillId="0" borderId="36" xfId="0" applyNumberFormat="1" applyBorder="1"/>
    <xf numFmtId="2" fontId="0" fillId="0" borderId="17" xfId="0" applyNumberFormat="1" applyBorder="1"/>
    <xf numFmtId="2" fontId="0" fillId="0" borderId="37" xfId="0" applyNumberFormat="1" applyBorder="1"/>
    <xf numFmtId="0" fontId="9" fillId="0" borderId="0" xfId="0" applyFont="1"/>
    <xf numFmtId="0" fontId="10" fillId="0" borderId="0" xfId="0" applyFont="1"/>
    <xf numFmtId="0" fontId="0" fillId="3" borderId="8" xfId="0" applyFill="1" applyBorder="1"/>
    <xf numFmtId="0" fontId="1" fillId="0" borderId="9" xfId="0" applyFont="1" applyBorder="1"/>
    <xf numFmtId="0" fontId="1" fillId="0" borderId="13" xfId="0" applyFont="1" applyBorder="1"/>
    <xf numFmtId="0" fontId="1" fillId="0" borderId="15" xfId="0" applyFont="1" applyBorder="1"/>
    <xf numFmtId="0" fontId="7" fillId="0" borderId="0" xfId="1" applyFill="1" applyBorder="1"/>
    <xf numFmtId="164" fontId="0" fillId="0" borderId="0" xfId="0" applyNumberFormat="1"/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6" borderId="0" xfId="0" applyFill="1"/>
    <xf numFmtId="165" fontId="0" fillId="6" borderId="7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11" fillId="0" borderId="0" xfId="0" applyFont="1"/>
    <xf numFmtId="14" fontId="1" fillId="3" borderId="3" xfId="0" applyNumberFormat="1" applyFont="1" applyFill="1" applyBorder="1"/>
    <xf numFmtId="0" fontId="1" fillId="3" borderId="25" xfId="0" applyFont="1" applyFill="1" applyBorder="1"/>
    <xf numFmtId="0" fontId="1" fillId="3" borderId="6" xfId="0" applyFont="1" applyFill="1" applyBorder="1"/>
    <xf numFmtId="164" fontId="12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12" fillId="0" borderId="12" xfId="0" applyNumberFormat="1" applyFont="1" applyBorder="1" applyAlignment="1">
      <alignment horizontal="center"/>
    </xf>
    <xf numFmtId="166" fontId="12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1" xfId="0" applyFont="1" applyBorder="1"/>
    <xf numFmtId="0" fontId="8" fillId="0" borderId="26" xfId="0" applyFont="1" applyBorder="1"/>
    <xf numFmtId="0" fontId="6" fillId="0" borderId="2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31" xfId="0" applyNumberFormat="1" applyFill="1" applyBorder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5" borderId="0" xfId="0" applyNumberFormat="1" applyFill="1"/>
    <xf numFmtId="0" fontId="0" fillId="5" borderId="0" xfId="0" applyFill="1"/>
    <xf numFmtId="0" fontId="0" fillId="0" borderId="7" xfId="0" applyBorder="1"/>
    <xf numFmtId="0" fontId="0" fillId="0" borderId="8" xfId="0" applyBorder="1"/>
    <xf numFmtId="0" fontId="0" fillId="2" borderId="10" xfId="0" applyFill="1" applyBorder="1"/>
    <xf numFmtId="0" fontId="0" fillId="2" borderId="11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13" xfId="0" applyFill="1" applyBorder="1"/>
    <xf numFmtId="0" fontId="0" fillId="2" borderId="14" xfId="0" applyFill="1" applyBorder="1"/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</cellXfs>
  <cellStyles count="2">
    <cellStyle name="Good" xfId="1" builtinId="26"/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Electrode Calibration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42679331961985"/>
          <c:y val="0.17171296296296298"/>
          <c:w val="0.65148704594081186"/>
          <c:h val="0.626014998125234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4213522404076801"/>
                  <c:y val="3.8319835020622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Calibration!$B$34:$B$39</c:f>
              <c:numCache>
                <c:formatCode>0.00</c:formatCode>
                <c:ptCount val="6"/>
                <c:pt idx="0" formatCode="0.000">
                  <c:v>4.5600000000000009E-2</c:v>
                </c:pt>
                <c:pt idx="1">
                  <c:v>9.1200000000000017E-2</c:v>
                </c:pt>
                <c:pt idx="2">
                  <c:v>0.45600000000000007</c:v>
                </c:pt>
                <c:pt idx="3" formatCode="0.0">
                  <c:v>0.91200000000000014</c:v>
                </c:pt>
                <c:pt idx="4" formatCode="0.0">
                  <c:v>4.5600000000000005</c:v>
                </c:pt>
                <c:pt idx="5" formatCode="0.0">
                  <c:v>9.120000000000001</c:v>
                </c:pt>
              </c:numCache>
            </c:numRef>
          </c:xVal>
          <c:yVal>
            <c:numRef>
              <c:f>Calibration!$C$34:$C$39</c:f>
              <c:numCache>
                <c:formatCode>0.0</c:formatCode>
                <c:ptCount val="6"/>
                <c:pt idx="0">
                  <c:v>-706.33333333333337</c:v>
                </c:pt>
                <c:pt idx="1">
                  <c:v>-722.6</c:v>
                </c:pt>
                <c:pt idx="2">
                  <c:v>-750.4</c:v>
                </c:pt>
                <c:pt idx="3">
                  <c:v>-760.4</c:v>
                </c:pt>
                <c:pt idx="4">
                  <c:v>-781.9</c:v>
                </c:pt>
                <c:pt idx="5">
                  <c:v>-791.3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23-44EF-BB7F-0A966C48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36640"/>
        <c:axId val="340234400"/>
      </c:scatterChart>
      <c:valAx>
        <c:axId val="340236640"/>
        <c:scaling>
          <c:logBase val="10"/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[S(-II)]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546182221680424"/>
              <c:y val="0.89454593175853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4400"/>
        <c:crossesAt val="-680"/>
        <c:crossBetween val="midCat"/>
      </c:valAx>
      <c:valAx>
        <c:axId val="340234400"/>
        <c:scaling>
          <c:orientation val="maxMin"/>
          <c:max val="-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Electrode</a:t>
                </a:r>
                <a:r>
                  <a:rPr lang="en-US" baseline="0"/>
                  <a:t> Resp. (mV)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03971791049508E-2"/>
              <c:y val="0.23540157480314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6640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Electrode Calibration - DL Evaluation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42679331961985"/>
          <c:y val="0.17171296296296298"/>
          <c:w val="0.65148704594081186"/>
          <c:h val="0.626014998125234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4213522404076801"/>
                  <c:y val="3.8319835020622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Calibration!$B$33:$B$39</c:f>
              <c:numCache>
                <c:formatCode>0.000</c:formatCode>
                <c:ptCount val="7"/>
                <c:pt idx="0">
                  <c:v>9.1200000000000014E-3</c:v>
                </c:pt>
                <c:pt idx="1">
                  <c:v>4.5600000000000009E-2</c:v>
                </c:pt>
                <c:pt idx="2" formatCode="0.00">
                  <c:v>9.1200000000000017E-2</c:v>
                </c:pt>
                <c:pt idx="3" formatCode="0.00">
                  <c:v>0.45600000000000007</c:v>
                </c:pt>
                <c:pt idx="4" formatCode="0.0">
                  <c:v>0.91200000000000014</c:v>
                </c:pt>
                <c:pt idx="5" formatCode="0.0">
                  <c:v>4.5600000000000005</c:v>
                </c:pt>
                <c:pt idx="6" formatCode="0.0">
                  <c:v>9.120000000000001</c:v>
                </c:pt>
              </c:numCache>
            </c:numRef>
          </c:xVal>
          <c:yVal>
            <c:numRef>
              <c:f>Calibration!$C$33:$C$39</c:f>
              <c:numCache>
                <c:formatCode>0.0</c:formatCode>
                <c:ptCount val="7"/>
                <c:pt idx="0">
                  <c:v>-415.2</c:v>
                </c:pt>
                <c:pt idx="1">
                  <c:v>-706.33333333333337</c:v>
                </c:pt>
                <c:pt idx="2">
                  <c:v>-722.6</c:v>
                </c:pt>
                <c:pt idx="3">
                  <c:v>-750.4</c:v>
                </c:pt>
                <c:pt idx="4">
                  <c:v>-760.4</c:v>
                </c:pt>
                <c:pt idx="5">
                  <c:v>-781.9</c:v>
                </c:pt>
                <c:pt idx="6">
                  <c:v>-791.3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0-497D-9728-A354BDC8D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36640"/>
        <c:axId val="340234400"/>
      </c:scatterChart>
      <c:valAx>
        <c:axId val="340236640"/>
        <c:scaling>
          <c:logBase val="10"/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[S(-II)]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546182221680424"/>
              <c:y val="0.89454593175853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4400"/>
        <c:crossesAt val="-680"/>
        <c:crossBetween val="midCat"/>
      </c:valAx>
      <c:valAx>
        <c:axId val="340234400"/>
        <c:scaling>
          <c:orientation val="maxMin"/>
          <c:max val="-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Electrode</a:t>
                </a:r>
                <a:r>
                  <a:rPr lang="en-US" baseline="0"/>
                  <a:t> Resp. (mV)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03971791049508E-2"/>
              <c:y val="0.23540157480314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6640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107950</xdr:colOff>
      <xdr:row>0</xdr:row>
      <xdr:rowOff>132195</xdr:rowOff>
    </xdr:from>
    <xdr:to>
      <xdr:col>11</xdr:col>
      <xdr:colOff>322228</xdr:colOff>
      <xdr:row>2</xdr:row>
      <xdr:rowOff>115821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BC7E1-C4E4-42F3-AD06-818887FA7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6473" y="331354"/>
          <a:ext cx="3301764" cy="373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231775</xdr:rowOff>
    </xdr:from>
    <xdr:to>
      <xdr:col>11</xdr:col>
      <xdr:colOff>347283</xdr:colOff>
      <xdr:row>1</xdr:row>
      <xdr:rowOff>254368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6EC0CE-AF25-4856-B6C6-1CA86DF7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325" y="231775"/>
          <a:ext cx="3287333" cy="371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227646</xdr:colOff>
      <xdr:row>28</xdr:row>
      <xdr:rowOff>72390</xdr:rowOff>
    </xdr:from>
    <xdr:to>
      <xdr:col>7</xdr:col>
      <xdr:colOff>891540</xdr:colOff>
      <xdr:row>42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B18E4-9331-48E6-B729-F55D54A36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12700</xdr:colOff>
      <xdr:row>1</xdr:row>
      <xdr:rowOff>88900</xdr:rowOff>
    </xdr:from>
    <xdr:to>
      <xdr:col>2</xdr:col>
      <xdr:colOff>1601408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C90D48-08E3-4875-B9E5-92A595269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638175"/>
          <a:ext cx="3325433" cy="352425"/>
        </a:xfrm>
        <a:prstGeom prst="rect">
          <a:avLst/>
        </a:prstGeom>
      </xdr:spPr>
    </xdr:pic>
    <xdr:clientData/>
  </xdr:twoCellAnchor>
  <xdr:twoCellAnchor>
    <xdr:from>
      <xdr:col>7</xdr:col>
      <xdr:colOff>979714</xdr:colOff>
      <xdr:row>28</xdr:row>
      <xdr:rowOff>40822</xdr:rowOff>
    </xdr:from>
    <xdr:to>
      <xdr:col>13</xdr:col>
      <xdr:colOff>310108</xdr:colOff>
      <xdr:row>42</xdr:row>
      <xdr:rowOff>109402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562B0E-8C92-41BC-BCC8-9A1DEFA93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poulin/Documents/Quality%20Management%20Plan%20and%20SOPs/Sulfide%20Measurement%20by%20ISE/EEEL-S2-07%20F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S"/>
      <sheetName val="Reagent Log Form"/>
      <sheetName val="Titration"/>
      <sheetName val="Calibration"/>
      <sheetName val="Data Workup"/>
      <sheetName val="Second-Level Review Form"/>
    </sheetNames>
    <sheetDataSet>
      <sheetData sheetId="0"/>
      <sheetData sheetId="1"/>
      <sheetData sheetId="2">
        <row r="14">
          <cell r="A14">
            <v>0</v>
          </cell>
        </row>
      </sheetData>
      <sheetData sheetId="3"/>
      <sheetData sheetId="4">
        <row r="13">
          <cell r="A13">
            <v>1</v>
          </cell>
          <cell r="B13" t="str">
            <v>OREM1013</v>
          </cell>
          <cell r="C13">
            <v>-13.107007463840143</v>
          </cell>
          <cell r="D13">
            <v>-771.31912296711926</v>
          </cell>
          <cell r="E13">
            <v>0.99865038612084689</v>
          </cell>
        </row>
        <row r="14">
          <cell r="A14">
            <v>2</v>
          </cell>
          <cell r="B14">
            <v>0</v>
          </cell>
          <cell r="C14" t="e">
            <v>#VALUE!</v>
          </cell>
          <cell r="D14" t="e">
            <v>#VALUE!</v>
          </cell>
          <cell r="E14" t="e">
            <v>#VALUE!</v>
          </cell>
        </row>
        <row r="15">
          <cell r="A15">
            <v>3</v>
          </cell>
          <cell r="B15">
            <v>0</v>
          </cell>
          <cell r="C15" t="e">
            <v>#VALUE!</v>
          </cell>
          <cell r="D15" t="e">
            <v>#VALUE!</v>
          </cell>
          <cell r="E15" t="e">
            <v>#VALUE!</v>
          </cell>
        </row>
        <row r="16">
          <cell r="A16">
            <v>4</v>
          </cell>
          <cell r="B16">
            <v>0</v>
          </cell>
          <cell r="C16" t="e">
            <v>#VALUE!</v>
          </cell>
          <cell r="D16" t="e">
            <v>#VALUE!</v>
          </cell>
          <cell r="E16" t="e">
            <v>#VALUE!</v>
          </cell>
        </row>
        <row r="17">
          <cell r="A17">
            <v>5</v>
          </cell>
          <cell r="B17">
            <v>0</v>
          </cell>
          <cell r="C17" t="e">
            <v>#VALUE!</v>
          </cell>
          <cell r="D17" t="e">
            <v>#VALUE!</v>
          </cell>
          <cell r="E17" t="e">
            <v>#VALUE!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46EF-872E-4002-AF2C-EC3A7CBB0060}">
  <dimension ref="A1:J2"/>
  <sheetViews>
    <sheetView workbookViewId="0">
      <selection activeCell="D12" sqref="D12"/>
    </sheetView>
  </sheetViews>
  <sheetFormatPr defaultRowHeight="14.25" x14ac:dyDescent="0.45"/>
  <cols>
    <col min="1" max="2" width="17.46484375" style="80" customWidth="1"/>
    <col min="3" max="3" width="24.86328125" style="80" customWidth="1"/>
    <col min="4" max="4" width="30.46484375" customWidth="1"/>
    <col min="5" max="5" width="25.86328125" customWidth="1"/>
    <col min="6" max="7" width="25.53125" customWidth="1"/>
    <col min="8" max="8" width="17.53125" customWidth="1"/>
    <col min="9" max="9" width="19.86328125" customWidth="1"/>
    <col min="10" max="10" width="14.1328125" customWidth="1"/>
  </cols>
  <sheetData>
    <row r="1" spans="1:10" x14ac:dyDescent="0.45">
      <c r="A1" s="137" t="s">
        <v>59</v>
      </c>
      <c r="B1" s="137" t="s">
        <v>70</v>
      </c>
      <c r="C1" s="138" t="s">
        <v>60</v>
      </c>
      <c r="D1" s="139" t="s">
        <v>61</v>
      </c>
      <c r="E1" s="139" t="s">
        <v>62</v>
      </c>
      <c r="F1" s="139" t="s">
        <v>63</v>
      </c>
      <c r="G1" s="139" t="s">
        <v>69</v>
      </c>
      <c r="H1" s="139" t="s">
        <v>64</v>
      </c>
      <c r="I1" s="139" t="s">
        <v>65</v>
      </c>
      <c r="J1" s="139" t="s">
        <v>66</v>
      </c>
    </row>
    <row r="2" spans="1:10" x14ac:dyDescent="0.45">
      <c r="D2" s="79">
        <f>'Sample Measurement'!$K$7</f>
        <v>44754</v>
      </c>
      <c r="E2" s="80" t="str">
        <f>'Sample Measurement'!K8</f>
        <v>Virginia Krause, Emily Richter</v>
      </c>
      <c r="F2" t="str">
        <f>Calibration!C18</f>
        <v>E1</v>
      </c>
      <c r="G2" s="79">
        <f>Calibration!$C$16</f>
        <v>45484</v>
      </c>
      <c r="H2" s="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90D7-66FE-47D9-A01D-324309264D19}">
  <dimension ref="A1:M45"/>
  <sheetViews>
    <sheetView tabSelected="1" zoomScale="110" zoomScaleNormal="110" workbookViewId="0">
      <selection activeCell="B9" sqref="B9"/>
    </sheetView>
  </sheetViews>
  <sheetFormatPr defaultRowHeight="14.25" x14ac:dyDescent="0.45"/>
  <cols>
    <col min="1" max="1" width="36.1328125" customWidth="1"/>
    <col min="2" max="2" width="16.33203125" customWidth="1"/>
    <col min="3" max="3" width="16.6640625" customWidth="1"/>
    <col min="4" max="4" width="12" customWidth="1"/>
    <col min="5" max="5" width="20.6640625" customWidth="1"/>
    <col min="6" max="6" width="12" customWidth="1"/>
    <col min="7" max="7" width="43.33203125" customWidth="1"/>
    <col min="9" max="9" width="9.1328125" customWidth="1"/>
    <col min="11" max="11" width="28.1328125" customWidth="1"/>
    <col min="13" max="13" width="2.46484375" customWidth="1"/>
  </cols>
  <sheetData>
    <row r="1" spans="1:13" ht="14.65" thickBot="1" x14ac:dyDescent="0.5">
      <c r="A1" s="69" t="s">
        <v>49</v>
      </c>
      <c r="B1" s="70" t="s">
        <v>50</v>
      </c>
      <c r="C1" s="70" t="s">
        <v>52</v>
      </c>
      <c r="D1" s="70" t="s">
        <v>72</v>
      </c>
      <c r="E1" s="70" t="s">
        <v>73</v>
      </c>
      <c r="F1" s="70" t="s">
        <v>71</v>
      </c>
      <c r="G1" s="89" t="s">
        <v>51</v>
      </c>
      <c r="H1" s="71"/>
      <c r="I1" s="2"/>
      <c r="J1" s="3"/>
      <c r="K1" s="3"/>
      <c r="L1" s="3"/>
      <c r="M1" s="4"/>
    </row>
    <row r="2" spans="1:13" x14ac:dyDescent="0.45">
      <c r="A2" s="87" t="s">
        <v>101</v>
      </c>
      <c r="B2" s="88">
        <v>-752.8</v>
      </c>
      <c r="C2" s="99">
        <f>EXP((B2-Calibration!$C$42)/Calibration!$C$41)</f>
        <v>0.67188099207440977</v>
      </c>
      <c r="D2" s="100">
        <v>1</v>
      </c>
      <c r="E2" s="100">
        <f t="shared" ref="E2:E45" si="0">C2*D2</f>
        <v>0.67188099207440977</v>
      </c>
      <c r="F2" s="99" t="str">
        <f>IF(E2&lt;Calibration!$C$46, "&lt;DL", "")</f>
        <v/>
      </c>
      <c r="G2" s="25"/>
      <c r="I2" s="38"/>
      <c r="J2" s="22"/>
      <c r="K2" s="22"/>
      <c r="L2" s="22"/>
      <c r="M2" s="84"/>
    </row>
    <row r="3" spans="1:13" x14ac:dyDescent="0.45">
      <c r="A3" s="87" t="s">
        <v>102</v>
      </c>
      <c r="B3" s="88">
        <v>-755.3</v>
      </c>
      <c r="C3" s="99">
        <f>EXP((B3-Calibration!$C$42)/Calibration!$C$41)</f>
        <v>0.78775764362917511</v>
      </c>
      <c r="D3" s="97">
        <v>1</v>
      </c>
      <c r="E3" s="97">
        <f t="shared" si="0"/>
        <v>0.78775764362917511</v>
      </c>
      <c r="F3" s="99" t="str">
        <f>IF(E3&lt;Calibration!$C$46, "&lt;DL", "")</f>
        <v/>
      </c>
      <c r="G3" s="91"/>
      <c r="I3" s="38"/>
      <c r="J3" s="22"/>
      <c r="K3" s="22"/>
      <c r="L3" s="22"/>
      <c r="M3" s="39"/>
    </row>
    <row r="4" spans="1:13" x14ac:dyDescent="0.45">
      <c r="A4" s="87" t="s">
        <v>103</v>
      </c>
      <c r="B4" s="88">
        <v>-752</v>
      </c>
      <c r="C4" s="99">
        <f>EXP((B4-Calibration!$C$42)/Calibration!$C$41)</f>
        <v>0.63852847324120809</v>
      </c>
      <c r="D4" s="97">
        <v>1</v>
      </c>
      <c r="E4" s="97">
        <f t="shared" si="0"/>
        <v>0.63852847324120809</v>
      </c>
      <c r="F4" s="99" t="str">
        <f>IF(E4&lt;Calibration!$C$46, "&lt;DL", "")</f>
        <v/>
      </c>
      <c r="G4" s="91"/>
      <c r="I4" s="38" t="s">
        <v>53</v>
      </c>
      <c r="J4" s="22"/>
      <c r="K4" s="22"/>
      <c r="L4" s="22"/>
      <c r="M4" s="84"/>
    </row>
    <row r="5" spans="1:13" ht="14.65" thickBot="1" x14ac:dyDescent="0.5">
      <c r="A5" s="87" t="s">
        <v>104</v>
      </c>
      <c r="B5" s="88">
        <v>-749.8</v>
      </c>
      <c r="C5" s="99">
        <f>EXP((B5-Calibration!$C$42)/Calibration!$C$41)</f>
        <v>0.55510102539537887</v>
      </c>
      <c r="D5" s="97">
        <v>1</v>
      </c>
      <c r="E5" s="97">
        <f t="shared" si="0"/>
        <v>0.55510102539537887</v>
      </c>
      <c r="F5" s="99" t="str">
        <f>IF(E5&lt;Calibration!$C$46, "&lt;DL", "")</f>
        <v/>
      </c>
      <c r="G5" s="91"/>
      <c r="I5" s="5" t="s">
        <v>24</v>
      </c>
      <c r="J5" s="6"/>
      <c r="K5" s="6"/>
      <c r="L5" s="6"/>
      <c r="M5" s="85"/>
    </row>
    <row r="6" spans="1:13" ht="14.65" thickBot="1" x14ac:dyDescent="0.5">
      <c r="A6" s="87" t="s">
        <v>105</v>
      </c>
      <c r="B6" s="88">
        <v>-748.1</v>
      </c>
      <c r="C6" s="99">
        <f>EXP((B6-Calibration!$C$42)/Calibration!$C$41)</f>
        <v>0.4981771975976666</v>
      </c>
      <c r="D6" s="97">
        <v>1</v>
      </c>
      <c r="E6" s="97">
        <f t="shared" si="0"/>
        <v>0.4981771975976666</v>
      </c>
      <c r="F6" s="99" t="str">
        <f>IF(E6&lt;Calibration!$C$46, "&lt;DL", "")</f>
        <v/>
      </c>
      <c r="G6" s="91"/>
    </row>
    <row r="7" spans="1:13" x14ac:dyDescent="0.45">
      <c r="A7" s="87" t="s">
        <v>106</v>
      </c>
      <c r="B7" s="12">
        <v>-745.9</v>
      </c>
      <c r="C7" s="99">
        <f>EXP((B7-Calibration!$C$42)/Calibration!$C$41)</f>
        <v>0.43308745780957014</v>
      </c>
      <c r="D7" s="97">
        <v>1</v>
      </c>
      <c r="E7" s="97">
        <f t="shared" si="0"/>
        <v>0.43308745780957014</v>
      </c>
      <c r="F7" s="99" t="str">
        <f>IF(E7&lt;Calibration!$C$46, "&lt;DL", "")</f>
        <v/>
      </c>
      <c r="G7" s="91"/>
      <c r="I7" s="140" t="s">
        <v>67</v>
      </c>
      <c r="J7" s="141"/>
      <c r="K7" s="81">
        <v>44754</v>
      </c>
    </row>
    <row r="8" spans="1:13" x14ac:dyDescent="0.45">
      <c r="A8" s="87" t="s">
        <v>107</v>
      </c>
      <c r="B8" s="12">
        <v>-748</v>
      </c>
      <c r="C8" s="99">
        <f>EXP((B8-Calibration!$C$42)/Calibration!$C$41)</f>
        <v>0.4950166815222255</v>
      </c>
      <c r="D8" s="97">
        <v>1</v>
      </c>
      <c r="E8" s="97">
        <f t="shared" si="0"/>
        <v>0.4950166815222255</v>
      </c>
      <c r="F8" s="99" t="str">
        <f>IF(E8&lt;Calibration!$C$46, "&lt;DL", "")</f>
        <v/>
      </c>
      <c r="G8" s="91"/>
      <c r="I8" s="142" t="s">
        <v>29</v>
      </c>
      <c r="J8" s="143"/>
      <c r="K8" s="82" t="s">
        <v>100</v>
      </c>
    </row>
    <row r="9" spans="1:13" ht="14.65" thickBot="1" x14ac:dyDescent="0.5">
      <c r="A9" s="34"/>
      <c r="B9" s="12"/>
      <c r="C9" s="99">
        <f>EXP((B9-Calibration!$C$42)/Calibration!$C$41)</f>
        <v>1.0466916089655898E-21</v>
      </c>
      <c r="D9" s="97">
        <v>1</v>
      </c>
      <c r="E9" s="97">
        <f t="shared" si="0"/>
        <v>1.0466916089655898E-21</v>
      </c>
      <c r="F9" s="99" t="str">
        <f>IF(E9&lt;Calibration!$C$46, "&lt;DL", "")</f>
        <v>&lt;DL</v>
      </c>
      <c r="G9" s="91"/>
      <c r="I9" s="144" t="s">
        <v>68</v>
      </c>
      <c r="J9" s="145"/>
      <c r="K9" s="83" t="s">
        <v>98</v>
      </c>
    </row>
    <row r="10" spans="1:13" x14ac:dyDescent="0.45">
      <c r="A10" s="34"/>
      <c r="B10" s="12"/>
      <c r="C10" s="99">
        <f>EXP((B10-Calibration!$C$42)/Calibration!$C$41)</f>
        <v>1.0466916089655898E-21</v>
      </c>
      <c r="D10" s="97">
        <v>1</v>
      </c>
      <c r="E10" s="97">
        <f t="shared" si="0"/>
        <v>1.0466916089655898E-21</v>
      </c>
      <c r="F10" s="99" t="str">
        <f>IF(E10&lt;Calibration!$C$46, "&lt;DL", "")</f>
        <v>&lt;DL</v>
      </c>
      <c r="G10" s="91"/>
    </row>
    <row r="11" spans="1:13" x14ac:dyDescent="0.45">
      <c r="A11" s="34"/>
      <c r="B11" s="12"/>
      <c r="C11" s="99">
        <f>EXP((B11-Calibration!$C$42)/Calibration!$C$41)</f>
        <v>1.0466916089655898E-21</v>
      </c>
      <c r="D11" s="97">
        <v>1</v>
      </c>
      <c r="E11" s="97">
        <f t="shared" si="0"/>
        <v>1.0466916089655898E-21</v>
      </c>
      <c r="F11" s="99" t="str">
        <f>IF(E11&lt;Calibration!$C$46, "&lt;DL", "")</f>
        <v>&lt;DL</v>
      </c>
      <c r="G11" s="91"/>
    </row>
    <row r="12" spans="1:13" x14ac:dyDescent="0.45">
      <c r="A12" s="34"/>
      <c r="B12" s="12"/>
      <c r="C12" s="99">
        <f>EXP((B12-Calibration!$C$42)/Calibration!$C$41)</f>
        <v>1.0466916089655898E-21</v>
      </c>
      <c r="D12" s="97">
        <v>1</v>
      </c>
      <c r="E12" s="97">
        <f t="shared" si="0"/>
        <v>1.0466916089655898E-21</v>
      </c>
      <c r="F12" s="99" t="str">
        <f>IF(E12&lt;Calibration!$C$46, "&lt;DL", "")</f>
        <v>&lt;DL</v>
      </c>
      <c r="G12" s="91"/>
    </row>
    <row r="13" spans="1:13" x14ac:dyDescent="0.45">
      <c r="A13" s="34"/>
      <c r="B13" s="12"/>
      <c r="C13" s="99">
        <f>EXP((B13-Calibration!$C$42)/Calibration!$C$41)</f>
        <v>1.0466916089655898E-21</v>
      </c>
      <c r="D13" s="97">
        <v>1</v>
      </c>
      <c r="E13" s="97">
        <f t="shared" si="0"/>
        <v>1.0466916089655898E-21</v>
      </c>
      <c r="F13" s="99" t="str">
        <f>IF(E13&lt;Calibration!$C$46, "&lt;DL", "")</f>
        <v>&lt;DL</v>
      </c>
      <c r="G13" s="91"/>
    </row>
    <row r="14" spans="1:13" x14ac:dyDescent="0.45">
      <c r="A14" s="34"/>
      <c r="B14" s="12"/>
      <c r="C14" s="99">
        <f>EXP((B14-Calibration!$C$42)/Calibration!$C$41)</f>
        <v>1.0466916089655898E-21</v>
      </c>
      <c r="D14" s="97">
        <v>1</v>
      </c>
      <c r="E14" s="97">
        <f t="shared" si="0"/>
        <v>1.0466916089655898E-21</v>
      </c>
      <c r="F14" s="99" t="str">
        <f>IF(E14&lt;Calibration!$C$46, "&lt;DL", "")</f>
        <v>&lt;DL</v>
      </c>
      <c r="G14" s="91"/>
    </row>
    <row r="15" spans="1:13" x14ac:dyDescent="0.45">
      <c r="A15" s="34"/>
      <c r="B15" s="12"/>
      <c r="C15" s="99">
        <f>EXP((B15-Calibration!$C$42)/Calibration!$C$41)</f>
        <v>1.0466916089655898E-21</v>
      </c>
      <c r="D15" s="97">
        <v>1</v>
      </c>
      <c r="E15" s="97">
        <f t="shared" si="0"/>
        <v>1.0466916089655898E-21</v>
      </c>
      <c r="F15" s="99" t="str">
        <f>IF(E15&lt;Calibration!$C$46, "&lt;DL", "")</f>
        <v>&lt;DL</v>
      </c>
      <c r="G15" s="91"/>
    </row>
    <row r="16" spans="1:13" x14ac:dyDescent="0.45">
      <c r="A16" s="34"/>
      <c r="B16" s="12"/>
      <c r="C16" s="99">
        <f>EXP((B16-Calibration!$C$42)/Calibration!$C$41)</f>
        <v>1.0466916089655898E-21</v>
      </c>
      <c r="D16" s="97">
        <v>1</v>
      </c>
      <c r="E16" s="97">
        <f t="shared" si="0"/>
        <v>1.0466916089655898E-21</v>
      </c>
      <c r="F16" s="99" t="str">
        <f>IF(E16&lt;Calibration!$C$46, "&lt;DL", "")</f>
        <v>&lt;DL</v>
      </c>
      <c r="G16" s="91"/>
    </row>
    <row r="17" spans="1:7" x14ac:dyDescent="0.45">
      <c r="A17" s="34"/>
      <c r="B17" s="12"/>
      <c r="C17" s="99">
        <f>EXP((B17-Calibration!$C$42)/Calibration!$C$41)</f>
        <v>1.0466916089655898E-21</v>
      </c>
      <c r="D17" s="97">
        <v>1</v>
      </c>
      <c r="E17" s="97">
        <f t="shared" si="0"/>
        <v>1.0466916089655898E-21</v>
      </c>
      <c r="F17" s="99" t="str">
        <f>IF(E17&lt;Calibration!$C$46, "&lt;DL", "")</f>
        <v>&lt;DL</v>
      </c>
      <c r="G17" s="91"/>
    </row>
    <row r="18" spans="1:7" x14ac:dyDescent="0.45">
      <c r="A18" s="34"/>
      <c r="B18" s="12"/>
      <c r="C18" s="99">
        <f>EXP((B18-Calibration!$C$42)/Calibration!$C$41)</f>
        <v>1.0466916089655898E-21</v>
      </c>
      <c r="D18" s="97">
        <v>1</v>
      </c>
      <c r="E18" s="97">
        <f t="shared" si="0"/>
        <v>1.0466916089655898E-21</v>
      </c>
      <c r="F18" s="99" t="str">
        <f>IF(E18&lt;Calibration!$C$46, "&lt;DL", "")</f>
        <v>&lt;DL</v>
      </c>
      <c r="G18" s="91"/>
    </row>
    <row r="19" spans="1:7" x14ac:dyDescent="0.45">
      <c r="A19" s="34"/>
      <c r="B19" s="12"/>
      <c r="C19" s="99">
        <f>EXP((B19-Calibration!$C$42)/Calibration!$C$41)</f>
        <v>1.0466916089655898E-21</v>
      </c>
      <c r="D19" s="97">
        <v>1</v>
      </c>
      <c r="E19" s="97">
        <f t="shared" si="0"/>
        <v>1.0466916089655898E-21</v>
      </c>
      <c r="F19" s="99" t="str">
        <f>IF(E19&lt;Calibration!$C$46, "&lt;DL", "")</f>
        <v>&lt;DL</v>
      </c>
      <c r="G19" s="91"/>
    </row>
    <row r="20" spans="1:7" x14ac:dyDescent="0.45">
      <c r="A20" s="34"/>
      <c r="B20" s="12"/>
      <c r="C20" s="99">
        <f>EXP((B20-Calibration!$C$42)/Calibration!$C$41)</f>
        <v>1.0466916089655898E-21</v>
      </c>
      <c r="D20" s="97">
        <v>1</v>
      </c>
      <c r="E20" s="97">
        <f t="shared" si="0"/>
        <v>1.0466916089655898E-21</v>
      </c>
      <c r="F20" s="99" t="str">
        <f>IF(E20&lt;Calibration!$C$46, "&lt;DL", "")</f>
        <v>&lt;DL</v>
      </c>
      <c r="G20" s="91"/>
    </row>
    <row r="21" spans="1:7" x14ac:dyDescent="0.45">
      <c r="A21" s="34"/>
      <c r="B21" s="12"/>
      <c r="C21" s="99">
        <f>EXP((B21-Calibration!$C$42)/Calibration!$C$41)</f>
        <v>1.0466916089655898E-21</v>
      </c>
      <c r="D21" s="97">
        <v>1</v>
      </c>
      <c r="E21" s="97">
        <f t="shared" si="0"/>
        <v>1.0466916089655898E-21</v>
      </c>
      <c r="F21" s="99" t="str">
        <f>IF(E21&lt;Calibration!$C$46, "&lt;DL", "")</f>
        <v>&lt;DL</v>
      </c>
      <c r="G21" s="91"/>
    </row>
    <row r="22" spans="1:7" x14ac:dyDescent="0.45">
      <c r="A22" s="34"/>
      <c r="B22" s="12"/>
      <c r="C22" s="99">
        <f>EXP((B22-Calibration!$C$42)/Calibration!$C$41)</f>
        <v>1.0466916089655898E-21</v>
      </c>
      <c r="D22" s="97">
        <v>1</v>
      </c>
      <c r="E22" s="97">
        <f t="shared" si="0"/>
        <v>1.0466916089655898E-21</v>
      </c>
      <c r="F22" s="99" t="str">
        <f>IF(E22&lt;Calibration!$C$46, "&lt;DL", "")</f>
        <v>&lt;DL</v>
      </c>
      <c r="G22" s="91"/>
    </row>
    <row r="23" spans="1:7" x14ac:dyDescent="0.45">
      <c r="A23" s="34"/>
      <c r="B23" s="12"/>
      <c r="C23" s="99">
        <f>EXP((B23-Calibration!$C$42)/Calibration!$C$41)</f>
        <v>1.0466916089655898E-21</v>
      </c>
      <c r="D23" s="97">
        <v>1</v>
      </c>
      <c r="E23" s="97">
        <f t="shared" si="0"/>
        <v>1.0466916089655898E-21</v>
      </c>
      <c r="F23" s="99" t="str">
        <f>IF(E23&lt;Calibration!$C$46, "&lt;DL", "")</f>
        <v>&lt;DL</v>
      </c>
      <c r="G23" s="91"/>
    </row>
    <row r="24" spans="1:7" x14ac:dyDescent="0.45">
      <c r="A24" s="34"/>
      <c r="B24" s="12"/>
      <c r="C24" s="99">
        <f>EXP((B24-Calibration!$C$42)/Calibration!$C$41)</f>
        <v>1.0466916089655898E-21</v>
      </c>
      <c r="D24" s="97">
        <v>1</v>
      </c>
      <c r="E24" s="97">
        <f t="shared" si="0"/>
        <v>1.0466916089655898E-21</v>
      </c>
      <c r="F24" s="99" t="str">
        <f>IF(E24&lt;Calibration!$C$46, "&lt;DL", "")</f>
        <v>&lt;DL</v>
      </c>
      <c r="G24" s="91"/>
    </row>
    <row r="25" spans="1:7" x14ac:dyDescent="0.45">
      <c r="A25" s="34"/>
      <c r="B25" s="12"/>
      <c r="C25" s="99">
        <f>EXP((B25-Calibration!$C$42)/Calibration!$C$41)</f>
        <v>1.0466916089655898E-21</v>
      </c>
      <c r="D25" s="97">
        <v>1</v>
      </c>
      <c r="E25" s="97">
        <f t="shared" si="0"/>
        <v>1.0466916089655898E-21</v>
      </c>
      <c r="F25" s="99" t="str">
        <f>IF(E25&lt;Calibration!$C$46, "&lt;DL", "")</f>
        <v>&lt;DL</v>
      </c>
      <c r="G25" s="91"/>
    </row>
    <row r="26" spans="1:7" x14ac:dyDescent="0.45">
      <c r="A26" s="34"/>
      <c r="B26" s="12"/>
      <c r="C26" s="99">
        <f>EXP((B26-Calibration!$C$42)/Calibration!$C$41)</f>
        <v>1.0466916089655898E-21</v>
      </c>
      <c r="D26" s="97">
        <v>1</v>
      </c>
      <c r="E26" s="97">
        <f t="shared" si="0"/>
        <v>1.0466916089655898E-21</v>
      </c>
      <c r="F26" s="99" t="str">
        <f>IF(E26&lt;Calibration!$C$46, "&lt;DL", "")</f>
        <v>&lt;DL</v>
      </c>
      <c r="G26" s="91"/>
    </row>
    <row r="27" spans="1:7" x14ac:dyDescent="0.45">
      <c r="A27" s="34"/>
      <c r="B27" s="12"/>
      <c r="C27" s="99">
        <f>EXP((B27-Calibration!$C$42)/Calibration!$C$41)</f>
        <v>1.0466916089655898E-21</v>
      </c>
      <c r="D27" s="97">
        <v>1</v>
      </c>
      <c r="E27" s="97">
        <f t="shared" si="0"/>
        <v>1.0466916089655898E-21</v>
      </c>
      <c r="F27" s="99" t="str">
        <f>IF(E27&lt;Calibration!$C$46, "&lt;DL", "")</f>
        <v>&lt;DL</v>
      </c>
      <c r="G27" s="91"/>
    </row>
    <row r="28" spans="1:7" x14ac:dyDescent="0.45">
      <c r="A28" s="34"/>
      <c r="B28" s="12"/>
      <c r="C28" s="99">
        <f>EXP((B28-Calibration!$C$42)/Calibration!$C$41)</f>
        <v>1.0466916089655898E-21</v>
      </c>
      <c r="D28" s="97">
        <v>1</v>
      </c>
      <c r="E28" s="97">
        <f t="shared" si="0"/>
        <v>1.0466916089655898E-21</v>
      </c>
      <c r="F28" s="99" t="str">
        <f>IF(E28&lt;Calibration!$C$46, "&lt;DL", "")</f>
        <v>&lt;DL</v>
      </c>
      <c r="G28" s="91"/>
    </row>
    <row r="29" spans="1:7" x14ac:dyDescent="0.45">
      <c r="A29" s="34"/>
      <c r="B29" s="12"/>
      <c r="C29" s="99">
        <f>EXP((B29-Calibration!$C$42)/Calibration!$C$41)</f>
        <v>1.0466916089655898E-21</v>
      </c>
      <c r="D29" s="97">
        <v>1</v>
      </c>
      <c r="E29" s="97">
        <f t="shared" si="0"/>
        <v>1.0466916089655898E-21</v>
      </c>
      <c r="F29" s="99" t="str">
        <f>IF(E29&lt;Calibration!$C$46, "&lt;DL", "")</f>
        <v>&lt;DL</v>
      </c>
      <c r="G29" s="91"/>
    </row>
    <row r="30" spans="1:7" x14ac:dyDescent="0.45">
      <c r="A30" s="34"/>
      <c r="B30" s="12"/>
      <c r="C30" s="99">
        <f>EXP((B30-Calibration!$C$42)/Calibration!$C$41)</f>
        <v>1.0466916089655898E-21</v>
      </c>
      <c r="D30" s="97">
        <v>1</v>
      </c>
      <c r="E30" s="97">
        <f t="shared" si="0"/>
        <v>1.0466916089655898E-21</v>
      </c>
      <c r="F30" s="99" t="str">
        <f>IF(E30&lt;Calibration!$C$46, "&lt;DL", "")</f>
        <v>&lt;DL</v>
      </c>
      <c r="G30" s="91"/>
    </row>
    <row r="31" spans="1:7" x14ac:dyDescent="0.45">
      <c r="A31" s="34"/>
      <c r="B31" s="12"/>
      <c r="C31" s="99">
        <f>EXP((B31-Calibration!$C$42)/Calibration!$C$41)</f>
        <v>1.0466916089655898E-21</v>
      </c>
      <c r="D31" s="97">
        <v>1</v>
      </c>
      <c r="E31" s="97">
        <f t="shared" si="0"/>
        <v>1.0466916089655898E-21</v>
      </c>
      <c r="F31" s="99" t="str">
        <f>IF(E31&lt;Calibration!$C$46, "&lt;DL", "")</f>
        <v>&lt;DL</v>
      </c>
      <c r="G31" s="91"/>
    </row>
    <row r="32" spans="1:7" x14ac:dyDescent="0.45">
      <c r="A32" s="34"/>
      <c r="B32" s="12"/>
      <c r="C32" s="99">
        <f>EXP((B32-Calibration!$C$42)/Calibration!$C$41)</f>
        <v>1.0466916089655898E-21</v>
      </c>
      <c r="D32" s="97">
        <v>1</v>
      </c>
      <c r="E32" s="97">
        <f t="shared" si="0"/>
        <v>1.0466916089655898E-21</v>
      </c>
      <c r="F32" s="99" t="str">
        <f>IF(E32&lt;Calibration!$C$46, "&lt;DL", "")</f>
        <v>&lt;DL</v>
      </c>
      <c r="G32" s="91"/>
    </row>
    <row r="33" spans="1:7" x14ac:dyDescent="0.45">
      <c r="A33" s="34"/>
      <c r="B33" s="12"/>
      <c r="C33" s="99">
        <f>EXP((B33-Calibration!$C$42)/Calibration!$C$41)</f>
        <v>1.0466916089655898E-21</v>
      </c>
      <c r="D33" s="97">
        <v>1</v>
      </c>
      <c r="E33" s="97">
        <f t="shared" si="0"/>
        <v>1.0466916089655898E-21</v>
      </c>
      <c r="F33" s="99" t="str">
        <f>IF(E33&lt;Calibration!$C$46, "&lt;DL", "")</f>
        <v>&lt;DL</v>
      </c>
      <c r="G33" s="91"/>
    </row>
    <row r="34" spans="1:7" x14ac:dyDescent="0.45">
      <c r="A34" s="34"/>
      <c r="B34" s="12"/>
      <c r="C34" s="99">
        <f>EXP((B34-Calibration!$C$42)/Calibration!$C$41)</f>
        <v>1.0466916089655898E-21</v>
      </c>
      <c r="D34" s="97">
        <v>1</v>
      </c>
      <c r="E34" s="97">
        <f t="shared" si="0"/>
        <v>1.0466916089655898E-21</v>
      </c>
      <c r="F34" s="99" t="str">
        <f>IF(E34&lt;Calibration!$C$46, "&lt;DL", "")</f>
        <v>&lt;DL</v>
      </c>
      <c r="G34" s="91"/>
    </row>
    <row r="35" spans="1:7" x14ac:dyDescent="0.45">
      <c r="A35" s="34"/>
      <c r="B35" s="12"/>
      <c r="C35" s="99">
        <f>EXP((B35-Calibration!$C$42)/Calibration!$C$41)</f>
        <v>1.0466916089655898E-21</v>
      </c>
      <c r="D35" s="97">
        <v>1</v>
      </c>
      <c r="E35" s="97">
        <f t="shared" si="0"/>
        <v>1.0466916089655898E-21</v>
      </c>
      <c r="F35" s="99" t="str">
        <f>IF(E35&lt;Calibration!$C$46, "&lt;DL", "")</f>
        <v>&lt;DL</v>
      </c>
      <c r="G35" s="91"/>
    </row>
    <row r="36" spans="1:7" x14ac:dyDescent="0.45">
      <c r="A36" s="34"/>
      <c r="B36" s="12"/>
      <c r="C36" s="99">
        <f>EXP((B36-Calibration!$C$42)/Calibration!$C$41)</f>
        <v>1.0466916089655898E-21</v>
      </c>
      <c r="D36" s="97">
        <v>1</v>
      </c>
      <c r="E36" s="97">
        <f t="shared" si="0"/>
        <v>1.0466916089655898E-21</v>
      </c>
      <c r="F36" s="99" t="str">
        <f>IF(E36&lt;Calibration!$C$46, "&lt;DL", "")</f>
        <v>&lt;DL</v>
      </c>
      <c r="G36" s="91"/>
    </row>
    <row r="37" spans="1:7" x14ac:dyDescent="0.45">
      <c r="A37" s="34"/>
      <c r="B37" s="12"/>
      <c r="C37" s="99">
        <f>EXP((B37-Calibration!$C$42)/Calibration!$C$41)</f>
        <v>1.0466916089655898E-21</v>
      </c>
      <c r="D37" s="97">
        <v>1</v>
      </c>
      <c r="E37" s="97">
        <f t="shared" si="0"/>
        <v>1.0466916089655898E-21</v>
      </c>
      <c r="F37" s="99" t="str">
        <f>IF(E37&lt;Calibration!$C$46, "&lt;DL", "")</f>
        <v>&lt;DL</v>
      </c>
      <c r="G37" s="91"/>
    </row>
    <row r="38" spans="1:7" x14ac:dyDescent="0.45">
      <c r="A38" s="34"/>
      <c r="B38" s="12"/>
      <c r="C38" s="99">
        <f>EXP((B38-Calibration!$C$42)/Calibration!$C$41)</f>
        <v>1.0466916089655898E-21</v>
      </c>
      <c r="D38" s="97">
        <v>1</v>
      </c>
      <c r="E38" s="97">
        <f t="shared" si="0"/>
        <v>1.0466916089655898E-21</v>
      </c>
      <c r="F38" s="99" t="str">
        <f>IF(E38&lt;Calibration!$C$46, "&lt;DL", "")</f>
        <v>&lt;DL</v>
      </c>
      <c r="G38" s="91"/>
    </row>
    <row r="39" spans="1:7" x14ac:dyDescent="0.45">
      <c r="A39" s="34"/>
      <c r="B39" s="12"/>
      <c r="C39" s="99">
        <f>EXP((B39-Calibration!$C$42)/Calibration!$C$41)</f>
        <v>1.0466916089655898E-21</v>
      </c>
      <c r="D39" s="97">
        <v>1</v>
      </c>
      <c r="E39" s="97">
        <f t="shared" si="0"/>
        <v>1.0466916089655898E-21</v>
      </c>
      <c r="F39" s="99" t="str">
        <f>IF(E39&lt;Calibration!$C$46, "&lt;DL", "")</f>
        <v>&lt;DL</v>
      </c>
      <c r="G39" s="91"/>
    </row>
    <row r="40" spans="1:7" x14ac:dyDescent="0.45">
      <c r="A40" s="34"/>
      <c r="B40" s="12"/>
      <c r="C40" s="99">
        <f>EXP((B40-Calibration!$C$42)/Calibration!$C$41)</f>
        <v>1.0466916089655898E-21</v>
      </c>
      <c r="D40" s="97">
        <v>1</v>
      </c>
      <c r="E40" s="97">
        <f t="shared" si="0"/>
        <v>1.0466916089655898E-21</v>
      </c>
      <c r="F40" s="99" t="str">
        <f>IF(E40&lt;Calibration!$C$46, "&lt;DL", "")</f>
        <v>&lt;DL</v>
      </c>
      <c r="G40" s="91"/>
    </row>
    <row r="41" spans="1:7" x14ac:dyDescent="0.45">
      <c r="A41" s="34"/>
      <c r="B41" s="12"/>
      <c r="C41" s="99">
        <f>EXP((B41-Calibration!$C$42)/Calibration!$C$41)</f>
        <v>1.0466916089655898E-21</v>
      </c>
      <c r="D41" s="97">
        <v>1</v>
      </c>
      <c r="E41" s="97">
        <f t="shared" si="0"/>
        <v>1.0466916089655898E-21</v>
      </c>
      <c r="F41" s="99" t="str">
        <f>IF(E41&lt;Calibration!$C$46, "&lt;DL", "")</f>
        <v>&lt;DL</v>
      </c>
      <c r="G41" s="91"/>
    </row>
    <row r="42" spans="1:7" x14ac:dyDescent="0.45">
      <c r="A42" s="34"/>
      <c r="B42" s="12"/>
      <c r="C42" s="99">
        <f>EXP((B42-Calibration!$C$42)/Calibration!$C$41)</f>
        <v>1.0466916089655898E-21</v>
      </c>
      <c r="D42" s="97">
        <v>1</v>
      </c>
      <c r="E42" s="97">
        <f t="shared" si="0"/>
        <v>1.0466916089655898E-21</v>
      </c>
      <c r="F42" s="99" t="str">
        <f>IF(E42&lt;Calibration!$C$46, "&lt;DL", "")</f>
        <v>&lt;DL</v>
      </c>
      <c r="G42" s="91"/>
    </row>
    <row r="43" spans="1:7" x14ac:dyDescent="0.45">
      <c r="A43" s="34"/>
      <c r="B43" s="12"/>
      <c r="C43" s="99">
        <f>EXP((B43-Calibration!$C$42)/Calibration!$C$41)</f>
        <v>1.0466916089655898E-21</v>
      </c>
      <c r="D43" s="97">
        <v>1</v>
      </c>
      <c r="E43" s="97">
        <f t="shared" si="0"/>
        <v>1.0466916089655898E-21</v>
      </c>
      <c r="F43" s="99" t="str">
        <f>IF(E43&lt;Calibration!$C$46, "&lt;DL", "")</f>
        <v>&lt;DL</v>
      </c>
      <c r="G43" s="91"/>
    </row>
    <row r="44" spans="1:7" x14ac:dyDescent="0.45">
      <c r="A44" s="34"/>
      <c r="B44" s="12"/>
      <c r="C44" s="99">
        <f>EXP((B44-Calibration!$C$42)/Calibration!$C$41)</f>
        <v>1.0466916089655898E-21</v>
      </c>
      <c r="D44" s="97">
        <v>1</v>
      </c>
      <c r="E44" s="97">
        <f t="shared" si="0"/>
        <v>1.0466916089655898E-21</v>
      </c>
      <c r="F44" s="99" t="str">
        <f>IF(E44&lt;Calibration!$C$46, "&lt;DL", "")</f>
        <v>&lt;DL</v>
      </c>
      <c r="G44" s="91"/>
    </row>
    <row r="45" spans="1:7" ht="14.65" thickBot="1" x14ac:dyDescent="0.5">
      <c r="A45" s="20"/>
      <c r="B45" s="14"/>
      <c r="C45" s="99">
        <f>EXP((B45-Calibration!$C$42)/Calibration!$C$41)</f>
        <v>1.0466916089655898E-21</v>
      </c>
      <c r="D45" s="98">
        <v>1</v>
      </c>
      <c r="E45" s="98">
        <f t="shared" si="0"/>
        <v>1.0466916089655898E-21</v>
      </c>
      <c r="F45" s="99" t="str">
        <f>IF(E45&lt;Calibration!$C$46, "&lt;DL", "")</f>
        <v>&lt;DL</v>
      </c>
      <c r="G45" s="36"/>
    </row>
  </sheetData>
  <mergeCells count="3">
    <mergeCell ref="I7:J7"/>
    <mergeCell ref="I8:J8"/>
    <mergeCell ref="I9:J9"/>
  </mergeCells>
  <phoneticPr fontId="13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F11D781B-CBA1-4FE3-8097-2DBBB70726CF}">
            <xm:f>Calibration!$C$46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19F853F7-1364-4DF3-80B6-067FC8E21160}">
            <xm:f>Calibration!$B$39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C2:C45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74F5-996A-4BC6-8806-91AE9B9E09DB}">
  <sheetPr>
    <pageSetUpPr fitToPage="1"/>
  </sheetPr>
  <dimension ref="A1:L45"/>
  <sheetViews>
    <sheetView zoomScale="60" zoomScaleNormal="60" workbookViewId="0">
      <selection activeCell="K22" sqref="K22"/>
    </sheetView>
  </sheetViews>
  <sheetFormatPr defaultRowHeight="14.25" x14ac:dyDescent="0.45"/>
  <cols>
    <col min="1" max="1" width="36.1328125" customWidth="1"/>
    <col min="2" max="2" width="16.33203125" customWidth="1"/>
    <col min="3" max="3" width="21.1328125" customWidth="1"/>
    <col min="4" max="4" width="16.6640625" customWidth="1"/>
    <col min="5" max="5" width="43.33203125" customWidth="1"/>
  </cols>
  <sheetData>
    <row r="1" spans="1:12" ht="27.75" customHeight="1" thickBot="1" x14ac:dyDescent="0.5">
      <c r="A1" s="93" t="s">
        <v>49</v>
      </c>
      <c r="B1" s="94" t="s">
        <v>50</v>
      </c>
      <c r="C1" s="94" t="s">
        <v>44</v>
      </c>
      <c r="D1" s="94" t="s">
        <v>71</v>
      </c>
      <c r="E1" s="95" t="s">
        <v>51</v>
      </c>
      <c r="F1" s="71"/>
      <c r="G1" s="2"/>
      <c r="H1" s="3"/>
      <c r="I1" s="3"/>
      <c r="J1" s="3"/>
      <c r="K1" s="3"/>
      <c r="L1" s="4"/>
    </row>
    <row r="2" spans="1:12" ht="27.75" customHeight="1" x14ac:dyDescent="0.45">
      <c r="A2" s="17"/>
      <c r="B2" s="18"/>
      <c r="C2" s="90"/>
      <c r="D2" s="90"/>
      <c r="E2" s="10"/>
      <c r="G2" s="38"/>
      <c r="H2" s="22"/>
      <c r="I2" s="22"/>
      <c r="J2" s="22"/>
      <c r="K2" s="78"/>
      <c r="L2" s="39"/>
    </row>
    <row r="3" spans="1:12" ht="27.75" customHeight="1" x14ac:dyDescent="0.45">
      <c r="A3" s="34"/>
      <c r="B3" s="12"/>
      <c r="C3" s="77"/>
      <c r="D3" s="77"/>
      <c r="E3" s="91"/>
      <c r="G3" s="38" t="s">
        <v>53</v>
      </c>
      <c r="H3" s="22"/>
      <c r="I3" s="22"/>
      <c r="J3" s="22"/>
      <c r="K3" s="22"/>
      <c r="L3" s="39"/>
    </row>
    <row r="4" spans="1:12" ht="27.75" customHeight="1" x14ac:dyDescent="0.45">
      <c r="A4" s="34"/>
      <c r="B4" s="12"/>
      <c r="C4" s="77"/>
      <c r="D4" s="77"/>
      <c r="E4" s="91"/>
      <c r="G4" s="38" t="s">
        <v>24</v>
      </c>
      <c r="H4" s="22"/>
      <c r="I4" s="22"/>
      <c r="J4" s="22"/>
      <c r="K4" s="78"/>
      <c r="L4" s="39"/>
    </row>
    <row r="5" spans="1:12" ht="27.75" customHeight="1" thickBot="1" x14ac:dyDescent="0.5">
      <c r="A5" s="34"/>
      <c r="B5" s="12"/>
      <c r="C5" s="77"/>
      <c r="D5" s="77"/>
      <c r="E5" s="91"/>
      <c r="G5" s="5"/>
      <c r="H5" s="6"/>
      <c r="I5" s="6"/>
      <c r="J5" s="6"/>
      <c r="K5" s="72"/>
      <c r="L5" s="7"/>
    </row>
    <row r="6" spans="1:12" ht="27.75" customHeight="1" thickBot="1" x14ac:dyDescent="0.5">
      <c r="A6" s="34"/>
      <c r="B6" s="12"/>
      <c r="C6" s="77"/>
      <c r="D6" s="77"/>
      <c r="E6" s="91"/>
    </row>
    <row r="7" spans="1:12" ht="27.75" customHeight="1" x14ac:dyDescent="0.45">
      <c r="A7" s="34"/>
      <c r="B7" s="12"/>
      <c r="C7" s="77"/>
      <c r="D7" s="77"/>
      <c r="E7" s="91"/>
      <c r="G7" s="140" t="s">
        <v>67</v>
      </c>
      <c r="H7" s="141"/>
      <c r="I7" s="148"/>
      <c r="J7" s="148"/>
      <c r="K7" s="149"/>
    </row>
    <row r="8" spans="1:12" ht="27.75" customHeight="1" x14ac:dyDescent="0.45">
      <c r="A8" s="34"/>
      <c r="B8" s="12"/>
      <c r="C8" s="77"/>
      <c r="D8" s="77"/>
      <c r="E8" s="91"/>
      <c r="G8" s="142" t="s">
        <v>29</v>
      </c>
      <c r="H8" s="143"/>
      <c r="I8" s="150"/>
      <c r="J8" s="150"/>
      <c r="K8" s="151"/>
    </row>
    <row r="9" spans="1:12" ht="27.75" customHeight="1" thickBot="1" x14ac:dyDescent="0.5">
      <c r="A9" s="34"/>
      <c r="B9" s="12"/>
      <c r="C9" s="77"/>
      <c r="D9" s="77"/>
      <c r="E9" s="91"/>
      <c r="G9" s="146" t="s">
        <v>68</v>
      </c>
      <c r="H9" s="147"/>
      <c r="I9" s="152"/>
      <c r="J9" s="152"/>
      <c r="K9" s="153"/>
    </row>
    <row r="10" spans="1:12" ht="27.75" customHeight="1" x14ac:dyDescent="0.45">
      <c r="A10" s="34"/>
      <c r="B10" s="12"/>
      <c r="C10" s="77"/>
      <c r="D10" s="77"/>
      <c r="E10" s="91"/>
    </row>
    <row r="11" spans="1:12" ht="27.75" customHeight="1" x14ac:dyDescent="0.45">
      <c r="A11" s="34"/>
      <c r="B11" s="12"/>
      <c r="C11" s="77"/>
      <c r="D11" s="77"/>
      <c r="E11" s="91"/>
    </row>
    <row r="12" spans="1:12" ht="27.75" customHeight="1" x14ac:dyDescent="0.45">
      <c r="A12" s="34"/>
      <c r="B12" s="12"/>
      <c r="C12" s="77"/>
      <c r="D12" s="77"/>
      <c r="E12" s="91"/>
    </row>
    <row r="13" spans="1:12" ht="27.75" customHeight="1" x14ac:dyDescent="0.45">
      <c r="A13" s="34"/>
      <c r="B13" s="12"/>
      <c r="C13" s="77"/>
      <c r="D13" s="77"/>
      <c r="E13" s="91"/>
    </row>
    <row r="14" spans="1:12" ht="27.75" customHeight="1" x14ac:dyDescent="0.45">
      <c r="A14" s="34"/>
      <c r="B14" s="12"/>
      <c r="C14" s="77"/>
      <c r="D14" s="77"/>
      <c r="E14" s="91"/>
    </row>
    <row r="15" spans="1:12" ht="27.75" customHeight="1" x14ac:dyDescent="0.45">
      <c r="A15" s="34"/>
      <c r="B15" s="12"/>
      <c r="C15" s="77"/>
      <c r="D15" s="77"/>
      <c r="E15" s="91"/>
    </row>
    <row r="16" spans="1:12" ht="27.75" customHeight="1" x14ac:dyDescent="0.45">
      <c r="A16" s="34"/>
      <c r="B16" s="12"/>
      <c r="C16" s="77"/>
      <c r="D16" s="77"/>
      <c r="E16" s="91"/>
    </row>
    <row r="17" spans="1:5" ht="27.75" customHeight="1" x14ac:dyDescent="0.45">
      <c r="A17" s="34"/>
      <c r="B17" s="12"/>
      <c r="C17" s="77"/>
      <c r="D17" s="77"/>
      <c r="E17" s="91"/>
    </row>
    <row r="18" spans="1:5" ht="27.75" customHeight="1" x14ac:dyDescent="0.45">
      <c r="A18" s="34"/>
      <c r="B18" s="12"/>
      <c r="C18" s="77"/>
      <c r="D18" s="77"/>
      <c r="E18" s="91"/>
    </row>
    <row r="19" spans="1:5" ht="27.75" customHeight="1" x14ac:dyDescent="0.45">
      <c r="A19" s="34"/>
      <c r="B19" s="12"/>
      <c r="C19" s="77"/>
      <c r="D19" s="77"/>
      <c r="E19" s="91"/>
    </row>
    <row r="20" spans="1:5" ht="27.75" customHeight="1" x14ac:dyDescent="0.45">
      <c r="A20" s="34"/>
      <c r="B20" s="12"/>
      <c r="C20" s="77"/>
      <c r="D20" s="77"/>
      <c r="E20" s="91"/>
    </row>
    <row r="21" spans="1:5" ht="27.75" customHeight="1" x14ac:dyDescent="0.45">
      <c r="A21" s="34"/>
      <c r="B21" s="12"/>
      <c r="C21" s="77"/>
      <c r="D21" s="77"/>
      <c r="E21" s="91"/>
    </row>
    <row r="22" spans="1:5" ht="27.75" customHeight="1" x14ac:dyDescent="0.45">
      <c r="A22" s="34"/>
      <c r="B22" s="12"/>
      <c r="C22" s="77"/>
      <c r="D22" s="77"/>
      <c r="E22" s="91"/>
    </row>
    <row r="23" spans="1:5" ht="27.75" customHeight="1" x14ac:dyDescent="0.45">
      <c r="A23" s="34"/>
      <c r="B23" s="12"/>
      <c r="C23" s="77"/>
      <c r="D23" s="77"/>
      <c r="E23" s="91"/>
    </row>
    <row r="24" spans="1:5" ht="27.75" customHeight="1" x14ac:dyDescent="0.45">
      <c r="A24" s="34"/>
      <c r="B24" s="12"/>
      <c r="C24" s="77"/>
      <c r="D24" s="77"/>
      <c r="E24" s="91"/>
    </row>
    <row r="25" spans="1:5" ht="27.75" customHeight="1" x14ac:dyDescent="0.45">
      <c r="A25" s="34"/>
      <c r="B25" s="12"/>
      <c r="C25" s="77"/>
      <c r="D25" s="77"/>
      <c r="E25" s="91"/>
    </row>
    <row r="26" spans="1:5" ht="27.75" customHeight="1" x14ac:dyDescent="0.45">
      <c r="A26" s="34"/>
      <c r="B26" s="12"/>
      <c r="C26" s="77"/>
      <c r="D26" s="77"/>
      <c r="E26" s="91"/>
    </row>
    <row r="27" spans="1:5" ht="27.75" customHeight="1" x14ac:dyDescent="0.45">
      <c r="A27" s="34"/>
      <c r="B27" s="12"/>
      <c r="C27" s="77"/>
      <c r="D27" s="77"/>
      <c r="E27" s="91"/>
    </row>
    <row r="28" spans="1:5" ht="27.75" customHeight="1" x14ac:dyDescent="0.45">
      <c r="A28" s="34"/>
      <c r="B28" s="12"/>
      <c r="C28" s="77"/>
      <c r="D28" s="77"/>
      <c r="E28" s="91"/>
    </row>
    <row r="29" spans="1:5" ht="27.75" customHeight="1" x14ac:dyDescent="0.45">
      <c r="A29" s="34"/>
      <c r="B29" s="12"/>
      <c r="C29" s="77"/>
      <c r="D29" s="77"/>
      <c r="E29" s="91"/>
    </row>
    <row r="30" spans="1:5" ht="27.75" customHeight="1" x14ac:dyDescent="0.45">
      <c r="A30" s="34"/>
      <c r="B30" s="12"/>
      <c r="C30" s="77"/>
      <c r="D30" s="77"/>
      <c r="E30" s="91"/>
    </row>
    <row r="31" spans="1:5" ht="27.75" customHeight="1" x14ac:dyDescent="0.45">
      <c r="A31" s="34"/>
      <c r="B31" s="12"/>
      <c r="C31" s="77"/>
      <c r="D31" s="77"/>
      <c r="E31" s="91"/>
    </row>
    <row r="32" spans="1:5" ht="27.75" customHeight="1" x14ac:dyDescent="0.45">
      <c r="A32" s="34"/>
      <c r="B32" s="12"/>
      <c r="C32" s="77"/>
      <c r="D32" s="77"/>
      <c r="E32" s="91"/>
    </row>
    <row r="33" spans="1:5" ht="27.75" customHeight="1" x14ac:dyDescent="0.45">
      <c r="A33" s="34"/>
      <c r="B33" s="12"/>
      <c r="C33" s="77"/>
      <c r="D33" s="77"/>
      <c r="E33" s="91"/>
    </row>
    <row r="34" spans="1:5" ht="27.75" customHeight="1" x14ac:dyDescent="0.45">
      <c r="A34" s="34"/>
      <c r="B34" s="12"/>
      <c r="C34" s="77"/>
      <c r="D34" s="77"/>
      <c r="E34" s="91"/>
    </row>
    <row r="35" spans="1:5" ht="27.75" customHeight="1" x14ac:dyDescent="0.45">
      <c r="A35" s="34"/>
      <c r="B35" s="12"/>
      <c r="C35" s="77"/>
      <c r="D35" s="77"/>
      <c r="E35" s="91"/>
    </row>
    <row r="36" spans="1:5" ht="27.75" customHeight="1" x14ac:dyDescent="0.45">
      <c r="A36" s="34"/>
      <c r="B36" s="12"/>
      <c r="C36" s="77"/>
      <c r="D36" s="77"/>
      <c r="E36" s="91"/>
    </row>
    <row r="37" spans="1:5" ht="27.75" customHeight="1" x14ac:dyDescent="0.45">
      <c r="A37" s="34"/>
      <c r="B37" s="12"/>
      <c r="C37" s="77"/>
      <c r="D37" s="77"/>
      <c r="E37" s="91"/>
    </row>
    <row r="38" spans="1:5" ht="27.75" customHeight="1" x14ac:dyDescent="0.45">
      <c r="A38" s="34"/>
      <c r="B38" s="12"/>
      <c r="C38" s="77"/>
      <c r="D38" s="77"/>
      <c r="E38" s="91"/>
    </row>
    <row r="39" spans="1:5" ht="27.75" customHeight="1" x14ac:dyDescent="0.45">
      <c r="A39" s="34"/>
      <c r="B39" s="12"/>
      <c r="C39" s="77"/>
      <c r="D39" s="77"/>
      <c r="E39" s="91"/>
    </row>
    <row r="40" spans="1:5" ht="27.75" customHeight="1" x14ac:dyDescent="0.45">
      <c r="A40" s="34"/>
      <c r="B40" s="12"/>
      <c r="C40" s="77"/>
      <c r="D40" s="77"/>
      <c r="E40" s="91"/>
    </row>
    <row r="41" spans="1:5" ht="27.75" customHeight="1" x14ac:dyDescent="0.45">
      <c r="A41" s="34"/>
      <c r="B41" s="12"/>
      <c r="C41" s="77"/>
      <c r="D41" s="77"/>
      <c r="E41" s="91"/>
    </row>
    <row r="42" spans="1:5" ht="27.75" customHeight="1" x14ac:dyDescent="0.45">
      <c r="A42" s="34"/>
      <c r="B42" s="12"/>
      <c r="C42" s="77"/>
      <c r="D42" s="77"/>
      <c r="E42" s="91"/>
    </row>
    <row r="43" spans="1:5" ht="27.75" customHeight="1" x14ac:dyDescent="0.45">
      <c r="A43" s="34"/>
      <c r="B43" s="12"/>
      <c r="C43" s="77"/>
      <c r="D43" s="77"/>
      <c r="E43" s="91"/>
    </row>
    <row r="44" spans="1:5" ht="27.75" customHeight="1" x14ac:dyDescent="0.45">
      <c r="A44" s="34"/>
      <c r="B44" s="12"/>
      <c r="C44" s="77"/>
      <c r="D44" s="77"/>
      <c r="E44" s="91"/>
    </row>
    <row r="45" spans="1:5" ht="27.75" customHeight="1" thickBot="1" x14ac:dyDescent="0.5">
      <c r="A45" s="20"/>
      <c r="B45" s="14"/>
      <c r="C45" s="92"/>
      <c r="D45" s="92"/>
      <c r="E45" s="36"/>
    </row>
  </sheetData>
  <mergeCells count="6">
    <mergeCell ref="G7:H7"/>
    <mergeCell ref="G8:H8"/>
    <mergeCell ref="G9:H9"/>
    <mergeCell ref="I7:K7"/>
    <mergeCell ref="I8:K8"/>
    <mergeCell ref="I9:K9"/>
  </mergeCells>
  <pageMargins left="0.7" right="0.7" top="0.75" bottom="0.75" header="0.3" footer="0.3"/>
  <pageSetup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044E-3961-46A3-9107-38F9516FE0F6}">
  <sheetPr>
    <pageSetUpPr fitToPage="1"/>
  </sheetPr>
  <dimension ref="A1:J51"/>
  <sheetViews>
    <sheetView topLeftCell="A28" zoomScale="115" workbookViewId="0">
      <selection activeCell="D30" sqref="D30"/>
    </sheetView>
  </sheetViews>
  <sheetFormatPr defaultRowHeight="14.25" x14ac:dyDescent="0.45"/>
  <cols>
    <col min="1" max="1" width="16.46484375" customWidth="1"/>
    <col min="2" max="2" width="24.86328125" customWidth="1"/>
    <col min="3" max="3" width="29.46484375" customWidth="1"/>
    <col min="4" max="4" width="15.1328125" customWidth="1"/>
    <col min="5" max="5" width="14" customWidth="1"/>
    <col min="6" max="6" width="9.46484375" customWidth="1"/>
    <col min="7" max="7" width="8.53125" customWidth="1"/>
    <col min="8" max="8" width="26.1328125" customWidth="1"/>
    <col min="12" max="12" width="14.6640625" customWidth="1"/>
  </cols>
  <sheetData>
    <row r="1" spans="2:8" ht="14.65" thickBot="1" x14ac:dyDescent="0.5"/>
    <row r="2" spans="2:8" x14ac:dyDescent="0.45">
      <c r="B2" s="2"/>
      <c r="C2" s="3"/>
      <c r="D2" s="4"/>
    </row>
    <row r="3" spans="2:8" x14ac:dyDescent="0.45">
      <c r="B3" s="38"/>
      <c r="C3" s="22"/>
      <c r="D3" s="39"/>
    </row>
    <row r="4" spans="2:8" x14ac:dyDescent="0.45">
      <c r="B4" s="38"/>
      <c r="C4" s="22"/>
      <c r="D4" s="39"/>
    </row>
    <row r="5" spans="2:8" x14ac:dyDescent="0.45">
      <c r="B5" s="38" t="s">
        <v>23</v>
      </c>
      <c r="C5" s="22"/>
      <c r="D5" s="39"/>
    </row>
    <row r="6" spans="2:8" ht="14.65" thickBot="1" x14ac:dyDescent="0.5">
      <c r="B6" s="5" t="s">
        <v>24</v>
      </c>
      <c r="C6" s="6"/>
      <c r="D6" s="7"/>
    </row>
    <row r="8" spans="2:8" ht="18" x14ac:dyDescent="0.55000000000000004">
      <c r="B8" s="119" t="s">
        <v>85</v>
      </c>
    </row>
    <row r="9" spans="2:8" ht="18" x14ac:dyDescent="0.55000000000000004">
      <c r="B9" s="101" t="s">
        <v>86</v>
      </c>
    </row>
    <row r="10" spans="2:8" ht="18" x14ac:dyDescent="0.55000000000000004">
      <c r="B10" s="101" t="s">
        <v>90</v>
      </c>
    </row>
    <row r="11" spans="2:8" ht="18" x14ac:dyDescent="0.55000000000000004">
      <c r="B11" s="101" t="s">
        <v>87</v>
      </c>
    </row>
    <row r="12" spans="2:8" ht="18" x14ac:dyDescent="0.55000000000000004">
      <c r="B12" s="101" t="s">
        <v>91</v>
      </c>
    </row>
    <row r="13" spans="2:8" ht="18" x14ac:dyDescent="0.55000000000000004">
      <c r="B13" s="101" t="s">
        <v>92</v>
      </c>
    </row>
    <row r="14" spans="2:8" ht="18" x14ac:dyDescent="0.55000000000000004">
      <c r="B14" s="101" t="s">
        <v>94</v>
      </c>
    </row>
    <row r="15" spans="2:8" ht="14.65" thickBot="1" x14ac:dyDescent="0.5"/>
    <row r="16" spans="2:8" x14ac:dyDescent="0.45">
      <c r="B16" s="40" t="s">
        <v>25</v>
      </c>
      <c r="C16" s="120">
        <v>45484</v>
      </c>
      <c r="E16" s="40" t="s">
        <v>26</v>
      </c>
      <c r="F16" s="41"/>
      <c r="G16" s="41"/>
      <c r="H16" s="42"/>
    </row>
    <row r="17" spans="1:10" ht="14.65" thickBot="1" x14ac:dyDescent="0.5">
      <c r="B17" s="43" t="s">
        <v>27</v>
      </c>
      <c r="C17" s="121" t="s">
        <v>96</v>
      </c>
      <c r="E17" s="44">
        <f>'Sulfide Stock Soln'!C36</f>
        <v>9.120000000000001</v>
      </c>
      <c r="F17" s="45" t="s">
        <v>7</v>
      </c>
      <c r="G17" s="45"/>
      <c r="H17" s="46"/>
    </row>
    <row r="18" spans="1:10" x14ac:dyDescent="0.45">
      <c r="B18" s="43" t="s">
        <v>28</v>
      </c>
      <c r="C18" s="121" t="s">
        <v>97</v>
      </c>
    </row>
    <row r="19" spans="1:10" ht="14.65" thickBot="1" x14ac:dyDescent="0.5">
      <c r="B19" s="47" t="s">
        <v>29</v>
      </c>
      <c r="C19" s="122" t="s">
        <v>95</v>
      </c>
    </row>
    <row r="20" spans="1:10" s="48" customFormat="1" ht="42.75" customHeight="1" thickBot="1" x14ac:dyDescent="0.5">
      <c r="B20" s="49"/>
      <c r="C20"/>
      <c r="D20"/>
      <c r="E20"/>
      <c r="F20"/>
      <c r="G20"/>
      <c r="H20"/>
    </row>
    <row r="21" spans="1:10" s="21" customFormat="1" ht="33.75" customHeight="1" thickBot="1" x14ac:dyDescent="0.5">
      <c r="B21" s="50" t="s">
        <v>30</v>
      </c>
      <c r="C21" s="51" t="s">
        <v>31</v>
      </c>
      <c r="D21" s="51" t="s">
        <v>32</v>
      </c>
      <c r="E21" s="51" t="s">
        <v>33</v>
      </c>
      <c r="F21" s="51" t="s">
        <v>34</v>
      </c>
      <c r="G21" s="51" t="s">
        <v>35</v>
      </c>
      <c r="H21" s="52" t="s">
        <v>36</v>
      </c>
    </row>
    <row r="22" spans="1:10" s="21" customFormat="1" ht="25.5" customHeight="1" x14ac:dyDescent="0.45">
      <c r="A22" s="21" t="s">
        <v>37</v>
      </c>
      <c r="B22" s="53">
        <f t="shared" ref="B22:B28" si="0">(C22*$E$17)/(C22+D22)</f>
        <v>9.1200000000000014E-3</v>
      </c>
      <c r="C22" s="54">
        <v>0.01</v>
      </c>
      <c r="D22" s="54">
        <f t="shared" ref="D22:D28" si="1">10-C22</f>
        <v>9.99</v>
      </c>
      <c r="E22" s="54">
        <v>10</v>
      </c>
      <c r="F22" s="66">
        <v>-415.2</v>
      </c>
      <c r="G22" s="66"/>
      <c r="H22" s="55">
        <f>AVERAGE(F22:G22)</f>
        <v>-415.2</v>
      </c>
    </row>
    <row r="23" spans="1:10" s="21" customFormat="1" ht="25.5" customHeight="1" x14ac:dyDescent="0.45">
      <c r="A23" s="21" t="s">
        <v>38</v>
      </c>
      <c r="B23" s="56">
        <f t="shared" si="0"/>
        <v>4.5600000000000009E-2</v>
      </c>
      <c r="C23" s="57">
        <v>0.05</v>
      </c>
      <c r="D23" s="57">
        <f t="shared" si="1"/>
        <v>9.9499999999999993</v>
      </c>
      <c r="E23" s="57">
        <v>10</v>
      </c>
      <c r="F23" s="67">
        <v>-700</v>
      </c>
      <c r="G23" s="67">
        <v>-707.1</v>
      </c>
      <c r="H23" s="58">
        <f>AVERAGE(F23:G23,I23)</f>
        <v>-706.33333333333337</v>
      </c>
      <c r="I23" s="21">
        <v>-711.9</v>
      </c>
      <c r="J23" s="113" t="s">
        <v>99</v>
      </c>
    </row>
    <row r="24" spans="1:10" s="21" customFormat="1" ht="25.5" customHeight="1" x14ac:dyDescent="0.45">
      <c r="A24" s="21" t="s">
        <v>39</v>
      </c>
      <c r="B24" s="59">
        <f t="shared" si="0"/>
        <v>9.1200000000000017E-2</v>
      </c>
      <c r="C24" s="57">
        <v>0.1</v>
      </c>
      <c r="D24" s="57">
        <f t="shared" si="1"/>
        <v>9.9</v>
      </c>
      <c r="E24" s="57">
        <v>10</v>
      </c>
      <c r="F24" s="67">
        <v>-722.6</v>
      </c>
      <c r="G24" s="67"/>
      <c r="H24" s="58">
        <f t="shared" ref="H24:H28" si="2">AVERAGE(F24:G24)</f>
        <v>-722.6</v>
      </c>
    </row>
    <row r="25" spans="1:10" s="21" customFormat="1" ht="25.5" customHeight="1" x14ac:dyDescent="0.45">
      <c r="A25" s="21" t="s">
        <v>40</v>
      </c>
      <c r="B25" s="59">
        <f t="shared" si="0"/>
        <v>0.45600000000000007</v>
      </c>
      <c r="C25" s="57">
        <v>0.5</v>
      </c>
      <c r="D25" s="57">
        <f t="shared" si="1"/>
        <v>9.5</v>
      </c>
      <c r="E25" s="57">
        <v>10</v>
      </c>
      <c r="F25" s="67">
        <v>-750.4</v>
      </c>
      <c r="G25" s="67"/>
      <c r="H25" s="58">
        <f t="shared" si="2"/>
        <v>-750.4</v>
      </c>
    </row>
    <row r="26" spans="1:10" s="21" customFormat="1" ht="27.6" customHeight="1" x14ac:dyDescent="0.45">
      <c r="A26" s="21" t="s">
        <v>41</v>
      </c>
      <c r="B26" s="60">
        <f t="shared" si="0"/>
        <v>0.91200000000000014</v>
      </c>
      <c r="C26" s="57">
        <v>1</v>
      </c>
      <c r="D26" s="57">
        <f t="shared" si="1"/>
        <v>9</v>
      </c>
      <c r="E26" s="57">
        <v>10</v>
      </c>
      <c r="F26" s="67">
        <v>-760.4</v>
      </c>
      <c r="G26" s="67"/>
      <c r="H26" s="58">
        <f t="shared" si="2"/>
        <v>-760.4</v>
      </c>
    </row>
    <row r="27" spans="1:10" s="21" customFormat="1" ht="27.6" customHeight="1" x14ac:dyDescent="0.45">
      <c r="A27" s="21" t="s">
        <v>42</v>
      </c>
      <c r="B27" s="60">
        <f t="shared" si="0"/>
        <v>4.5600000000000005</v>
      </c>
      <c r="C27" s="57">
        <v>5</v>
      </c>
      <c r="D27" s="57">
        <f t="shared" si="1"/>
        <v>5</v>
      </c>
      <c r="E27" s="57">
        <v>10</v>
      </c>
      <c r="F27" s="67">
        <v>-781.9</v>
      </c>
      <c r="G27" s="67"/>
      <c r="H27" s="58">
        <f t="shared" si="2"/>
        <v>-781.9</v>
      </c>
    </row>
    <row r="28" spans="1:10" s="21" customFormat="1" ht="27.6" customHeight="1" thickBot="1" x14ac:dyDescent="0.5">
      <c r="A28" s="21" t="s">
        <v>43</v>
      </c>
      <c r="B28" s="61">
        <f t="shared" si="0"/>
        <v>9.120000000000001</v>
      </c>
      <c r="C28" s="62">
        <v>10</v>
      </c>
      <c r="D28" s="62">
        <f t="shared" si="1"/>
        <v>0</v>
      </c>
      <c r="E28" s="62">
        <v>10</v>
      </c>
      <c r="F28" s="68">
        <v>-791.3</v>
      </c>
      <c r="G28" s="68"/>
      <c r="H28" s="63">
        <f t="shared" si="2"/>
        <v>-791.3</v>
      </c>
    </row>
    <row r="29" spans="1:10" x14ac:dyDescent="0.45">
      <c r="B29" s="21"/>
      <c r="C29" s="21"/>
      <c r="D29" s="21"/>
      <c r="E29" s="21"/>
      <c r="F29" s="21"/>
      <c r="G29" s="21"/>
      <c r="H29" s="21"/>
    </row>
    <row r="31" spans="1:10" ht="14.65" thickBot="1" x14ac:dyDescent="0.5"/>
    <row r="32" spans="1:10" ht="14.65" thickBot="1" x14ac:dyDescent="0.5">
      <c r="B32" s="111" t="s">
        <v>44</v>
      </c>
      <c r="C32" s="112" t="s">
        <v>45</v>
      </c>
    </row>
    <row r="33" spans="1:3" x14ac:dyDescent="0.45">
      <c r="A33" s="116" t="s">
        <v>84</v>
      </c>
      <c r="B33" s="117">
        <f>B22</f>
        <v>9.1200000000000014E-3</v>
      </c>
      <c r="C33" s="118">
        <f t="shared" ref="C33:C39" si="3">H22</f>
        <v>-415.2</v>
      </c>
    </row>
    <row r="34" spans="1:3" x14ac:dyDescent="0.45">
      <c r="B34" s="56">
        <f t="shared" ref="B34:B39" si="4">B23</f>
        <v>4.5600000000000009E-2</v>
      </c>
      <c r="C34" s="64">
        <f t="shared" si="3"/>
        <v>-706.33333333333337</v>
      </c>
    </row>
    <row r="35" spans="1:3" x14ac:dyDescent="0.45">
      <c r="B35" s="59">
        <f t="shared" si="4"/>
        <v>9.1200000000000017E-2</v>
      </c>
      <c r="C35" s="64">
        <f t="shared" si="3"/>
        <v>-722.6</v>
      </c>
    </row>
    <row r="36" spans="1:3" x14ac:dyDescent="0.45">
      <c r="B36" s="59">
        <f t="shared" si="4"/>
        <v>0.45600000000000007</v>
      </c>
      <c r="C36" s="64">
        <f t="shared" si="3"/>
        <v>-750.4</v>
      </c>
    </row>
    <row r="37" spans="1:3" x14ac:dyDescent="0.45">
      <c r="B37" s="60">
        <f t="shared" si="4"/>
        <v>0.91200000000000014</v>
      </c>
      <c r="C37" s="64">
        <f t="shared" si="3"/>
        <v>-760.4</v>
      </c>
    </row>
    <row r="38" spans="1:3" x14ac:dyDescent="0.45">
      <c r="B38" s="60">
        <f t="shared" si="4"/>
        <v>4.5600000000000005</v>
      </c>
      <c r="C38" s="64">
        <f t="shared" si="3"/>
        <v>-781.9</v>
      </c>
    </row>
    <row r="39" spans="1:3" ht="14.65" thickBot="1" x14ac:dyDescent="0.5">
      <c r="B39" s="61">
        <f t="shared" si="4"/>
        <v>9.120000000000001</v>
      </c>
      <c r="C39" s="65">
        <f t="shared" si="3"/>
        <v>-791.3</v>
      </c>
    </row>
    <row r="40" spans="1:3" ht="14.65" thickBot="1" x14ac:dyDescent="0.5"/>
    <row r="41" spans="1:3" x14ac:dyDescent="0.45">
      <c r="B41" s="109" t="s">
        <v>46</v>
      </c>
      <c r="C41" s="123" cm="1">
        <f t="array" ref="C41">_xlfn.SINGLE(INDEX(LINEST(C34:C39,LN(B34:B39)),1))</f>
        <v>-15.712473896130085</v>
      </c>
    </row>
    <row r="42" spans="1:3" x14ac:dyDescent="0.45">
      <c r="B42" s="124" t="s">
        <v>47</v>
      </c>
      <c r="C42" s="125" cm="1">
        <f t="array" ref="C42">_xlfn.SINGLE(INDEX(LINEST(C34:C39, LN(B34:B39)),2))</f>
        <v>-759.04844311831607</v>
      </c>
    </row>
    <row r="43" spans="1:3" x14ac:dyDescent="0.45">
      <c r="B43" s="124" t="s">
        <v>48</v>
      </c>
      <c r="C43" s="126" cm="1">
        <f t="array" ref="C43">_xlfn.SINGLE(INDEX(LINEST(C34:C39, LN(B34:B39),TRUE,TRUE),3))</f>
        <v>0.99128643383537707</v>
      </c>
    </row>
    <row r="44" spans="1:3" ht="14.65" thickBot="1" x14ac:dyDescent="0.5">
      <c r="B44" s="110" t="s">
        <v>88</v>
      </c>
      <c r="C44" s="15" t="str">
        <f>IF(C43&gt;0.99, "PASS", "FAIL")</f>
        <v>PASS</v>
      </c>
    </row>
    <row r="45" spans="1:3" ht="14.65" thickBot="1" x14ac:dyDescent="0.5"/>
    <row r="46" spans="1:3" ht="14.65" thickBot="1" x14ac:dyDescent="0.5">
      <c r="B46" s="114" t="s">
        <v>93</v>
      </c>
      <c r="C46" s="136">
        <f>B34</f>
        <v>4.5600000000000009E-2</v>
      </c>
    </row>
    <row r="47" spans="1:3" ht="14.65" thickBot="1" x14ac:dyDescent="0.5">
      <c r="C47" s="21"/>
    </row>
    <row r="48" spans="1:3" x14ac:dyDescent="0.45">
      <c r="B48" s="109" t="s">
        <v>81</v>
      </c>
      <c r="C48" s="115">
        <f>H28-H26</f>
        <v>-30.899999999999977</v>
      </c>
    </row>
    <row r="49" spans="2:3" x14ac:dyDescent="0.45">
      <c r="B49" s="124" t="s">
        <v>83</v>
      </c>
      <c r="C49" s="13">
        <f>-59.2/2</f>
        <v>-29.6</v>
      </c>
    </row>
    <row r="50" spans="2:3" ht="14.65" thickBot="1" x14ac:dyDescent="0.5">
      <c r="B50" s="110" t="s">
        <v>89</v>
      </c>
      <c r="C50" s="15" t="str">
        <f>IF(AND(C48&gt;=-31.6, C48&lt;=-27.6), "PASS", "FAIL")</f>
        <v>PASS</v>
      </c>
    </row>
    <row r="51" spans="2:3" x14ac:dyDescent="0.45">
      <c r="B51" s="113" t="s">
        <v>82</v>
      </c>
    </row>
  </sheetData>
  <conditionalFormatting sqref="C44">
    <cfRule type="cellIs" dxfId="3" priority="1" operator="equal">
      <formula>"FAIL"</formula>
    </cfRule>
    <cfRule type="cellIs" dxfId="2" priority="2" operator="equal">
      <formula>"PASS"</formula>
    </cfRule>
  </conditionalFormatting>
  <conditionalFormatting sqref="C50">
    <cfRule type="cellIs" dxfId="1" priority="3" operator="equal">
      <formula>"FAIL"</formula>
    </cfRule>
    <cfRule type="cellIs" dxfId="0" priority="4" operator="equal">
      <formula>"PASS"</formula>
    </cfRule>
  </conditionalFormatting>
  <pageMargins left="0.7" right="0.7" top="0.75" bottom="0.75" header="0.3" footer="0.3"/>
  <pageSetup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A90C-86D9-4E49-8916-EE36D03F5330}">
  <sheetPr>
    <pageSetUpPr fitToPage="1"/>
  </sheetPr>
  <dimension ref="A1:J47"/>
  <sheetViews>
    <sheetView zoomScale="122" workbookViewId="0">
      <selection activeCell="G44" sqref="G44"/>
    </sheetView>
  </sheetViews>
  <sheetFormatPr defaultRowHeight="14.25" x14ac:dyDescent="0.45"/>
  <cols>
    <col min="1" max="1" width="8.6640625" style="37"/>
    <col min="2" max="2" width="37.86328125" customWidth="1"/>
    <col min="3" max="3" width="14" customWidth="1"/>
    <col min="4" max="4" width="17.33203125" customWidth="1"/>
    <col min="7" max="7" width="36.6640625" customWidth="1"/>
    <col min="8" max="8" width="18.33203125" customWidth="1"/>
    <col min="9" max="9" width="22.46484375" customWidth="1"/>
  </cols>
  <sheetData>
    <row r="1" spans="1:10" ht="21.4" thickBot="1" x14ac:dyDescent="0.7">
      <c r="B1" s="1" t="s">
        <v>0</v>
      </c>
    </row>
    <row r="2" spans="1:10" x14ac:dyDescent="0.45">
      <c r="B2" s="2" t="s">
        <v>1</v>
      </c>
      <c r="C2" s="3"/>
      <c r="D2" s="3"/>
      <c r="E2" s="3"/>
      <c r="F2" s="3"/>
      <c r="G2" s="3"/>
      <c r="H2" s="3"/>
      <c r="I2" s="3"/>
      <c r="J2" s="4"/>
    </row>
    <row r="3" spans="1:10" ht="14.65" thickBot="1" x14ac:dyDescent="0.5">
      <c r="B3" s="5" t="s">
        <v>17</v>
      </c>
      <c r="C3" s="6"/>
      <c r="D3" s="6"/>
      <c r="E3" s="6"/>
      <c r="F3" s="6"/>
      <c r="G3" s="6"/>
      <c r="H3" s="6"/>
      <c r="I3" s="6"/>
      <c r="J3" s="7"/>
    </row>
    <row r="5" spans="1:10" ht="21.4" thickBot="1" x14ac:dyDescent="0.7">
      <c r="A5" s="127" t="s">
        <v>22</v>
      </c>
      <c r="B5" s="102"/>
    </row>
    <row r="6" spans="1:10" ht="21" x14ac:dyDescent="0.65">
      <c r="A6" s="128" t="s">
        <v>18</v>
      </c>
      <c r="B6" s="129" t="s">
        <v>80</v>
      </c>
      <c r="C6" s="41"/>
      <c r="D6" s="41"/>
      <c r="E6" s="41"/>
      <c r="F6" s="41"/>
      <c r="G6" s="41"/>
      <c r="H6" s="41"/>
      <c r="I6" s="42"/>
    </row>
    <row r="7" spans="1:10" ht="15.75" x14ac:dyDescent="0.5">
      <c r="A7" s="74"/>
      <c r="B7" s="130" t="s">
        <v>56</v>
      </c>
      <c r="I7" s="35"/>
    </row>
    <row r="8" spans="1:10" ht="21" x14ac:dyDescent="0.65">
      <c r="A8" s="74"/>
      <c r="B8" s="43" t="s">
        <v>2</v>
      </c>
      <c r="F8" s="102" t="s">
        <v>54</v>
      </c>
      <c r="G8" s="8" t="s">
        <v>55</v>
      </c>
      <c r="I8" s="35"/>
    </row>
    <row r="9" spans="1:10" x14ac:dyDescent="0.45">
      <c r="A9" s="74"/>
      <c r="B9" s="49" t="s">
        <v>21</v>
      </c>
      <c r="G9" t="s">
        <v>21</v>
      </c>
      <c r="I9" s="35"/>
    </row>
    <row r="10" spans="1:10" ht="14.65" thickBot="1" x14ac:dyDescent="0.5">
      <c r="A10" s="74"/>
      <c r="B10" s="49"/>
      <c r="I10" s="35"/>
    </row>
    <row r="11" spans="1:10" x14ac:dyDescent="0.45">
      <c r="B11" s="9" t="s">
        <v>3</v>
      </c>
      <c r="C11" s="23"/>
      <c r="D11" s="10"/>
      <c r="G11" s="9" t="s">
        <v>3</v>
      </c>
      <c r="H11" s="23">
        <v>45366</v>
      </c>
      <c r="I11" s="10"/>
    </row>
    <row r="12" spans="1:10" x14ac:dyDescent="0.45">
      <c r="B12" s="24" t="s">
        <v>12</v>
      </c>
      <c r="C12" s="76"/>
      <c r="D12" s="33" t="s">
        <v>4</v>
      </c>
      <c r="G12" s="24" t="s">
        <v>58</v>
      </c>
      <c r="H12" s="76">
        <v>0.48659999999999998</v>
      </c>
      <c r="I12" s="33" t="s">
        <v>4</v>
      </c>
    </row>
    <row r="13" spans="1:10" x14ac:dyDescent="0.45">
      <c r="B13" s="24" t="s">
        <v>13</v>
      </c>
      <c r="C13" s="27">
        <f>(32.065/240.18)</f>
        <v>0.13350403863768839</v>
      </c>
      <c r="D13" s="25"/>
      <c r="G13" s="24" t="s">
        <v>57</v>
      </c>
      <c r="H13" s="27">
        <f>(32.065/78.0452)</f>
        <v>0.41085166031991716</v>
      </c>
      <c r="I13" s="25"/>
    </row>
    <row r="14" spans="1:10" x14ac:dyDescent="0.45">
      <c r="B14" s="11" t="s">
        <v>14</v>
      </c>
      <c r="C14" s="26">
        <f>C13*C12</f>
        <v>0</v>
      </c>
      <c r="D14" s="13" t="s">
        <v>4</v>
      </c>
      <c r="G14" s="11" t="s">
        <v>14</v>
      </c>
      <c r="H14" s="26">
        <f>H13*H12</f>
        <v>0.19992041791167167</v>
      </c>
      <c r="I14" s="13" t="s">
        <v>4</v>
      </c>
    </row>
    <row r="15" spans="1:10" ht="14.65" thickBot="1" x14ac:dyDescent="0.5">
      <c r="B15" s="28" t="s">
        <v>5</v>
      </c>
      <c r="C15" s="73">
        <v>100</v>
      </c>
      <c r="D15" s="29" t="s">
        <v>4</v>
      </c>
      <c r="G15" s="28" t="s">
        <v>5</v>
      </c>
      <c r="H15" s="73">
        <v>100</v>
      </c>
      <c r="I15" s="29" t="s">
        <v>4</v>
      </c>
    </row>
    <row r="16" spans="1:10" ht="14.65" thickBot="1" x14ac:dyDescent="0.5">
      <c r="B16" s="30" t="s">
        <v>15</v>
      </c>
      <c r="C16" s="31">
        <f>(C14/C15)*1000*1000</f>
        <v>0</v>
      </c>
      <c r="D16" s="32"/>
      <c r="G16" s="30" t="s">
        <v>15</v>
      </c>
      <c r="H16" s="31">
        <f>(H14/H15)*1000*1000</f>
        <v>1999.2041791167167</v>
      </c>
      <c r="I16" s="32"/>
    </row>
    <row r="17" spans="1:10" ht="14.65" thickBot="1" x14ac:dyDescent="0.5">
      <c r="B17" s="96" t="s">
        <v>6</v>
      </c>
      <c r="C17" s="45"/>
      <c r="D17" s="45"/>
      <c r="E17" s="45"/>
      <c r="F17" s="45"/>
      <c r="G17" s="45" t="s">
        <v>6</v>
      </c>
      <c r="H17" s="45"/>
      <c r="I17" s="46"/>
    </row>
    <row r="18" spans="1:10" ht="14.65" thickBot="1" x14ac:dyDescent="0.5"/>
    <row r="19" spans="1:10" ht="21" x14ac:dyDescent="0.65">
      <c r="A19" s="128" t="s">
        <v>19</v>
      </c>
      <c r="B19" s="129" t="s">
        <v>75</v>
      </c>
      <c r="C19" s="41"/>
      <c r="D19" s="41"/>
      <c r="E19" s="41"/>
      <c r="F19" s="41"/>
      <c r="G19" s="41"/>
      <c r="H19" s="41"/>
      <c r="I19" s="42"/>
    </row>
    <row r="20" spans="1:10" ht="14.65" thickBot="1" x14ac:dyDescent="0.5">
      <c r="B20" s="131" t="s">
        <v>8</v>
      </c>
      <c r="C20" s="16"/>
      <c r="D20" s="16"/>
      <c r="I20" s="35"/>
    </row>
    <row r="21" spans="1:10" x14ac:dyDescent="0.45">
      <c r="B21" s="17" t="s">
        <v>16</v>
      </c>
      <c r="C21" s="18">
        <v>2</v>
      </c>
      <c r="D21" s="19" t="s">
        <v>4</v>
      </c>
      <c r="I21" s="35"/>
    </row>
    <row r="22" spans="1:10" ht="14.65" thickBot="1" x14ac:dyDescent="0.5">
      <c r="B22" s="20" t="s">
        <v>9</v>
      </c>
      <c r="C22" s="14">
        <f>(40-C21)</f>
        <v>38</v>
      </c>
      <c r="D22" s="15" t="s">
        <v>4</v>
      </c>
      <c r="I22" s="35"/>
    </row>
    <row r="23" spans="1:10" x14ac:dyDescent="0.45">
      <c r="B23" s="49"/>
      <c r="I23" s="35"/>
    </row>
    <row r="24" spans="1:10" ht="14.65" thickBot="1" x14ac:dyDescent="0.5">
      <c r="B24" s="131" t="s">
        <v>74</v>
      </c>
      <c r="C24" s="16"/>
      <c r="D24" s="132"/>
      <c r="I24" s="35"/>
    </row>
    <row r="25" spans="1:10" x14ac:dyDescent="0.45">
      <c r="B25" s="17" t="s">
        <v>10</v>
      </c>
      <c r="C25" s="18">
        <v>4</v>
      </c>
      <c r="D25" s="19" t="s">
        <v>4</v>
      </c>
      <c r="I25" s="35"/>
    </row>
    <row r="26" spans="1:10" ht="14.65" thickBot="1" x14ac:dyDescent="0.5">
      <c r="B26" s="20" t="s">
        <v>9</v>
      </c>
      <c r="C26" s="14">
        <v>36</v>
      </c>
      <c r="D26" s="15" t="s">
        <v>4</v>
      </c>
      <c r="I26" s="35"/>
    </row>
    <row r="27" spans="1:10" x14ac:dyDescent="0.45">
      <c r="B27" s="49"/>
      <c r="I27" s="35"/>
    </row>
    <row r="28" spans="1:10" ht="14.65" thickBot="1" x14ac:dyDescent="0.5">
      <c r="B28" s="131" t="s">
        <v>76</v>
      </c>
      <c r="C28" s="16"/>
      <c r="D28" s="132"/>
      <c r="I28" s="35"/>
    </row>
    <row r="29" spans="1:10" s="16" customFormat="1" ht="20.45" customHeight="1" x14ac:dyDescent="0.45">
      <c r="A29" s="75"/>
      <c r="B29" s="17" t="s">
        <v>77</v>
      </c>
      <c r="C29" s="18">
        <v>0.5</v>
      </c>
      <c r="D29" s="19" t="s">
        <v>4</v>
      </c>
      <c r="F29"/>
      <c r="G29"/>
      <c r="H29"/>
      <c r="I29" s="35"/>
      <c r="J29"/>
    </row>
    <row r="30" spans="1:10" ht="14.65" thickBot="1" x14ac:dyDescent="0.5">
      <c r="B30" s="20" t="s">
        <v>9</v>
      </c>
      <c r="C30" s="14">
        <v>9.5</v>
      </c>
      <c r="D30" s="15" t="s">
        <v>4</v>
      </c>
      <c r="E30" s="45"/>
      <c r="F30" s="45"/>
      <c r="G30" s="45"/>
      <c r="H30" s="45"/>
      <c r="I30" s="46"/>
    </row>
    <row r="32" spans="1:10" ht="14.65" thickBot="1" x14ac:dyDescent="0.5">
      <c r="D32" s="21"/>
    </row>
    <row r="33" spans="1:9" s="16" customFormat="1" ht="21" customHeight="1" x14ac:dyDescent="0.45">
      <c r="A33" s="74" t="s">
        <v>20</v>
      </c>
      <c r="B33" s="133" t="s">
        <v>78</v>
      </c>
      <c r="C33" s="134"/>
      <c r="D33" s="134"/>
      <c r="E33" s="134"/>
      <c r="F33" s="134"/>
      <c r="G33" s="134"/>
      <c r="H33" s="134"/>
      <c r="I33" s="135"/>
    </row>
    <row r="34" spans="1:9" ht="14.65" thickBot="1" x14ac:dyDescent="0.5">
      <c r="B34" s="49"/>
      <c r="I34" s="35"/>
    </row>
    <row r="35" spans="1:9" x14ac:dyDescent="0.45">
      <c r="B35" s="17" t="s">
        <v>79</v>
      </c>
      <c r="C35" s="103">
        <v>0.45600000000000002</v>
      </c>
      <c r="D35" s="104" t="s">
        <v>7</v>
      </c>
      <c r="I35" s="35"/>
    </row>
    <row r="36" spans="1:9" ht="14.65" thickBot="1" x14ac:dyDescent="0.5">
      <c r="B36" s="105" t="s">
        <v>11</v>
      </c>
      <c r="C36" s="14">
        <f>C35*(SUM(C29:C30)/C29)</f>
        <v>9.120000000000001</v>
      </c>
      <c r="D36" s="106" t="s">
        <v>7</v>
      </c>
      <c r="E36" s="45"/>
      <c r="F36" s="45"/>
      <c r="G36" s="45"/>
      <c r="H36" s="45"/>
      <c r="I36" s="46"/>
    </row>
    <row r="37" spans="1:9" x14ac:dyDescent="0.45">
      <c r="C37" s="8"/>
    </row>
    <row r="41" spans="1:9" x14ac:dyDescent="0.45">
      <c r="B41" s="8"/>
    </row>
    <row r="45" spans="1:9" x14ac:dyDescent="0.45">
      <c r="B45" s="8"/>
      <c r="C45" s="107"/>
    </row>
    <row r="47" spans="1:9" x14ac:dyDescent="0.45">
      <c r="B47" s="108"/>
    </row>
  </sheetData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Sulfide_ISE_Data</vt:lpstr>
      <vt:lpstr>Sample Measurement</vt:lpstr>
      <vt:lpstr>PRINT_Field Sheet</vt:lpstr>
      <vt:lpstr>Calibration</vt:lpstr>
      <vt:lpstr>Sulfide Stock Soln</vt:lpstr>
      <vt:lpstr>Calibration!Print_Area</vt:lpstr>
      <vt:lpstr>'PRINT_Field Sheet'!Print_Area</vt:lpstr>
      <vt:lpstr>'Sulfide Stock Soln'!Print_Area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</dc:creator>
  <cp:lastModifiedBy>Emily Richter</cp:lastModifiedBy>
  <cp:lastPrinted>2023-10-30T19:58:18Z</cp:lastPrinted>
  <dcterms:created xsi:type="dcterms:W3CDTF">2015-06-05T18:17:20Z</dcterms:created>
  <dcterms:modified xsi:type="dcterms:W3CDTF">2024-08-06T19:48:34Z</dcterms:modified>
</cp:coreProperties>
</file>